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09-Lecture\"/>
    </mc:Choice>
  </mc:AlternateContent>
  <xr:revisionPtr revIDLastSave="0" documentId="13_ncr:1_{E647A947-85EC-43CA-A598-54C3C6B2C131}" xr6:coauthVersionLast="47" xr6:coauthVersionMax="47" xr10:uidLastSave="{00000000-0000-0000-0000-000000000000}"/>
  <bookViews>
    <workbookView xWindow="3315" yWindow="3735" windowWidth="27570" windowHeight="22530" activeTab="2" xr2:uid="{E1D7EE4B-03DA-4E53-99B1-A35A88B48A6D}"/>
  </bookViews>
  <sheets>
    <sheet name="Data" sheetId="1" r:id="rId1"/>
    <sheet name="Data (2)" sheetId="2" r:id="rId2"/>
    <sheet name="カード別グラ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F8" i="2"/>
  <c r="H8" i="2" s="1"/>
  <c r="F7" i="2"/>
  <c r="H7" i="2" s="1"/>
  <c r="F6" i="2"/>
  <c r="H6" i="2" s="1"/>
  <c r="H5" i="2"/>
  <c r="H9" i="2" s="1"/>
  <c r="F5" i="2"/>
  <c r="F9" i="2" s="1"/>
  <c r="H9" i="1"/>
  <c r="H6" i="1"/>
  <c r="H7" i="1"/>
  <c r="H8" i="1"/>
  <c r="H5" i="1"/>
  <c r="D9" i="1"/>
  <c r="E9" i="1"/>
  <c r="F9" i="1"/>
  <c r="C9" i="1"/>
  <c r="F6" i="1"/>
  <c r="F7" i="1"/>
  <c r="F8" i="1"/>
  <c r="F5" i="1"/>
</calcChain>
</file>

<file path=xl/sharedStrings.xml><?xml version="1.0" encoding="utf-8"?>
<sst xmlns="http://schemas.openxmlformats.org/spreadsheetml/2006/main" count="30" uniqueCount="14">
  <si>
    <t>（単位：枚）</t>
    <rPh sb="1" eb="3">
      <t>タンイ</t>
    </rPh>
    <rPh sb="4" eb="5">
      <t>マイ</t>
    </rPh>
    <phoneticPr fontId="1"/>
  </si>
  <si>
    <t>（単位：万円）</t>
  </si>
  <si>
    <t>カード種類</t>
    <rPh sb="3" eb="5">
      <t>シュルイ</t>
    </rPh>
    <phoneticPr fontId="1"/>
  </si>
  <si>
    <t>合計</t>
    <rPh sb="0" eb="2">
      <t>ゴウケイ</t>
    </rPh>
    <phoneticPr fontId="1"/>
  </si>
  <si>
    <t>単価</t>
  </si>
  <si>
    <t>売上金額</t>
  </si>
  <si>
    <t>－</t>
  </si>
  <si>
    <t>辻堂支店</t>
    <rPh sb="0" eb="2">
      <t>ツジドウ</t>
    </rPh>
    <rPh sb="2" eb="4">
      <t>シテン</t>
    </rPh>
    <phoneticPr fontId="1"/>
  </si>
  <si>
    <t>藤沢支店</t>
    <rPh sb="0" eb="2">
      <t>フジサワ</t>
    </rPh>
    <rPh sb="2" eb="4">
      <t>シテン</t>
    </rPh>
    <phoneticPr fontId="1"/>
  </si>
  <si>
    <t>大船支店</t>
    <rPh sb="0" eb="2">
      <t>オオフナ</t>
    </rPh>
    <rPh sb="2" eb="4">
      <t>シテン</t>
    </rPh>
    <phoneticPr fontId="1"/>
  </si>
  <si>
    <t>Dカード</t>
    <phoneticPr fontId="1"/>
  </si>
  <si>
    <t>Pカード</t>
    <phoneticPr fontId="1"/>
  </si>
  <si>
    <t>Yカード</t>
    <phoneticPr fontId="1"/>
  </si>
  <si>
    <t>Mカード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</si>
</sst>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Pカード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Data!$C$5:$E$5</c:f>
              <c:numCache>
                <c:formatCode>General</c:formatCode>
                <c:ptCount val="3"/>
                <c:pt idx="0">
                  <c:v>648</c:v>
                </c:pt>
                <c:pt idx="1">
                  <c:v>292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5-4379-BA90-E5A42B92C25F}"/>
            </c:ext>
          </c:extLst>
        </c:ser>
        <c:ser>
          <c:idx val="1"/>
          <c:order val="1"/>
          <c:tx>
            <c:strRef>
              <c:f>Data!$B$6</c:f>
              <c:strCache>
                <c:ptCount val="1"/>
                <c:pt idx="0">
                  <c:v>Yカード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Data!$C$6:$E$6</c:f>
              <c:numCache>
                <c:formatCode>General</c:formatCode>
                <c:ptCount val="3"/>
                <c:pt idx="0">
                  <c:v>612</c:v>
                </c:pt>
                <c:pt idx="1">
                  <c:v>793</c:v>
                </c:pt>
                <c:pt idx="2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5-4379-BA90-E5A42B92C25F}"/>
            </c:ext>
          </c:extLst>
        </c:ser>
        <c:ser>
          <c:idx val="2"/>
          <c:order val="2"/>
          <c:tx>
            <c:strRef>
              <c:f>Data!$B$7</c:f>
              <c:strCache>
                <c:ptCount val="1"/>
                <c:pt idx="0">
                  <c:v>Mカード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Data!$C$7:$E$7</c:f>
              <c:numCache>
                <c:formatCode>General</c:formatCode>
                <c:ptCount val="3"/>
                <c:pt idx="0">
                  <c:v>183</c:v>
                </c:pt>
                <c:pt idx="1">
                  <c:v>208</c:v>
                </c:pt>
                <c:pt idx="2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5-4379-BA90-E5A42B92C25F}"/>
            </c:ext>
          </c:extLst>
        </c:ser>
        <c:ser>
          <c:idx val="3"/>
          <c:order val="3"/>
          <c:tx>
            <c:strRef>
              <c:f>Data!$B$8</c:f>
              <c:strCache>
                <c:ptCount val="1"/>
                <c:pt idx="0">
                  <c:v>Dカード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Data!$C$4:$E$4</c:f>
              <c:strCache>
                <c:ptCount val="3"/>
                <c:pt idx="0">
                  <c:v>辻堂支店</c:v>
                </c:pt>
                <c:pt idx="1">
                  <c:v>藤沢支店</c:v>
                </c:pt>
                <c:pt idx="2">
                  <c:v>大船支店</c:v>
                </c:pt>
              </c:strCache>
            </c:strRef>
          </c:cat>
          <c:val>
            <c:numRef>
              <c:f>Data!$C$8:$E$8</c:f>
              <c:numCache>
                <c:formatCode>General</c:formatCode>
                <c:ptCount val="3"/>
                <c:pt idx="0">
                  <c:v>978</c:v>
                </c:pt>
                <c:pt idx="1">
                  <c:v>537</c:v>
                </c:pt>
                <c:pt idx="2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5-4379-BA90-E5A42B92C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027663"/>
        <c:axId val="1169028623"/>
      </c:barChart>
      <c:catAx>
        <c:axId val="11690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9028623"/>
        <c:crosses val="autoZero"/>
        <c:auto val="1"/>
        <c:lblAlgn val="ctr"/>
        <c:lblOffset val="100"/>
        <c:noMultiLvlLbl val="0"/>
      </c:catAx>
      <c:valAx>
        <c:axId val="11690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枚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90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カード別合計枚数と売上金額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291426071741032"/>
          <c:y val="0.20106481481481481"/>
          <c:w val="0.70094925634295713"/>
          <c:h val="0.63192876932050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(2)'!$F$4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(2)'!$B$5:$B$8</c:f>
              <c:strCache>
                <c:ptCount val="4"/>
                <c:pt idx="0">
                  <c:v>Pカード</c:v>
                </c:pt>
                <c:pt idx="1">
                  <c:v>Yカード</c:v>
                </c:pt>
                <c:pt idx="2">
                  <c:v>Mカード</c:v>
                </c:pt>
                <c:pt idx="3">
                  <c:v>Dカード</c:v>
                </c:pt>
              </c:strCache>
            </c:strRef>
          </c:cat>
          <c:val>
            <c:numRef>
              <c:f>'Data (2)'!$F$5:$F$8</c:f>
              <c:numCache>
                <c:formatCode>General</c:formatCode>
                <c:ptCount val="4"/>
                <c:pt idx="0">
                  <c:v>1262</c:v>
                </c:pt>
                <c:pt idx="1">
                  <c:v>1999</c:v>
                </c:pt>
                <c:pt idx="2">
                  <c:v>769</c:v>
                </c:pt>
                <c:pt idx="3">
                  <c:v>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D-40EA-BC4A-3E4C6590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9875599"/>
        <c:axId val="1159874639"/>
      </c:barChart>
      <c:lineChart>
        <c:grouping val="standard"/>
        <c:varyColors val="0"/>
        <c:ser>
          <c:idx val="1"/>
          <c:order val="1"/>
          <c:tx>
            <c:strRef>
              <c:f>'Data (2)'!$H$4</c:f>
              <c:strCache>
                <c:ptCount val="1"/>
                <c:pt idx="0">
                  <c:v>売上金額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(2)'!$B$5:$B$8</c:f>
              <c:strCache>
                <c:ptCount val="4"/>
                <c:pt idx="0">
                  <c:v>Pカード</c:v>
                </c:pt>
                <c:pt idx="1">
                  <c:v>Yカード</c:v>
                </c:pt>
                <c:pt idx="2">
                  <c:v>Mカード</c:v>
                </c:pt>
                <c:pt idx="3">
                  <c:v>Dカード</c:v>
                </c:pt>
              </c:strCache>
            </c:strRef>
          </c:cat>
          <c:val>
            <c:numRef>
              <c:f>'Data (2)'!$H$5:$H$8</c:f>
              <c:numCache>
                <c:formatCode>General</c:formatCode>
                <c:ptCount val="4"/>
                <c:pt idx="0">
                  <c:v>22716</c:v>
                </c:pt>
                <c:pt idx="1">
                  <c:v>31984</c:v>
                </c:pt>
                <c:pt idx="2">
                  <c:v>9228</c:v>
                </c:pt>
                <c:pt idx="3">
                  <c:v>23510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0EA-BC4A-3E4C6590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716415"/>
        <c:axId val="2002729583"/>
      </c:lineChart>
      <c:catAx>
        <c:axId val="115987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874639"/>
        <c:crosses val="autoZero"/>
        <c:auto val="1"/>
        <c:lblAlgn val="ctr"/>
        <c:lblOffset val="100"/>
        <c:noMultiLvlLbl val="0"/>
      </c:catAx>
      <c:valAx>
        <c:axId val="11598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枚</a:t>
                </a:r>
              </a:p>
            </c:rich>
          </c:tx>
          <c:layout>
            <c:manualLayout>
              <c:xMode val="edge"/>
              <c:yMode val="edge"/>
              <c:x val="8.611111111111111E-2"/>
              <c:y val="7.78393846602507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59875599"/>
        <c:crosses val="autoZero"/>
        <c:crossBetween val="between"/>
      </c:valAx>
      <c:valAx>
        <c:axId val="2002729583"/>
        <c:scaling>
          <c:orientation val="minMax"/>
        </c:scaling>
        <c:delete val="0"/>
        <c:axPos val="r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（万円）</a:t>
                </a:r>
                <a:endParaRPr lang="en-US" altLang="ja-JP"/>
              </a:p>
            </c:rich>
          </c:tx>
          <c:layout>
            <c:manualLayout>
              <c:xMode val="edge"/>
              <c:yMode val="edge"/>
              <c:x val="0.8415555555555555"/>
              <c:y val="6.81054972295129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6716415"/>
        <c:crosses val="max"/>
        <c:crossBetween val="between"/>
      </c:valAx>
      <c:catAx>
        <c:axId val="1496716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27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"/>
          <c:y val="0.91261519393409141"/>
          <c:w val="0.34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E5F361-3A02-48F8-A048-3DAA285B8B55}">
  <sheetPr/>
  <sheetViews>
    <sheetView tabSelected="1" zoomScale="1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185738</xdr:rowOff>
    </xdr:from>
    <xdr:to>
      <xdr:col>6</xdr:col>
      <xdr:colOff>66675</xdr:colOff>
      <xdr:row>13</xdr:row>
      <xdr:rowOff>166688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F2DABA9-4D18-A94C-D976-F313A1B77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31609C-610D-F0EC-1229-694998E4A1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E0B5-360A-486E-A722-FCC27F4B7B5C}">
  <dimension ref="B3:H9"/>
  <sheetViews>
    <sheetView zoomScale="200" zoomScaleNormal="200" workbookViewId="0">
      <selection activeCell="G1" sqref="G1"/>
    </sheetView>
  </sheetViews>
  <sheetFormatPr defaultRowHeight="18.75" x14ac:dyDescent="0.4"/>
  <cols>
    <col min="2" max="2" width="17.5" bestFit="1" customWidth="1"/>
    <col min="3" max="5" width="14" customWidth="1"/>
    <col min="6" max="6" width="13.25" bestFit="1" customWidth="1"/>
    <col min="8" max="8" width="15.375" bestFit="1" customWidth="1"/>
  </cols>
  <sheetData>
    <row r="3" spans="2:8" ht="21.95" customHeight="1" x14ac:dyDescent="0.4">
      <c r="B3" s="1"/>
      <c r="C3" s="1"/>
      <c r="D3" s="1"/>
      <c r="E3" s="1"/>
      <c r="F3" s="1" t="s">
        <v>0</v>
      </c>
      <c r="G3" s="1"/>
      <c r="H3" s="1" t="s">
        <v>1</v>
      </c>
    </row>
    <row r="4" spans="2:8" ht="21.95" customHeight="1" x14ac:dyDescent="0.4">
      <c r="B4" s="3" t="s">
        <v>2</v>
      </c>
      <c r="C4" s="3" t="s">
        <v>7</v>
      </c>
      <c r="D4" s="3" t="s">
        <v>8</v>
      </c>
      <c r="E4" s="3" t="s">
        <v>9</v>
      </c>
      <c r="F4" s="3" t="s">
        <v>3</v>
      </c>
      <c r="G4" s="3" t="s">
        <v>4</v>
      </c>
      <c r="H4" s="3" t="s">
        <v>5</v>
      </c>
    </row>
    <row r="5" spans="2:8" ht="21.95" customHeight="1" x14ac:dyDescent="0.4">
      <c r="B5" s="1" t="s">
        <v>11</v>
      </c>
      <c r="C5" s="1">
        <v>648</v>
      </c>
      <c r="D5" s="1">
        <v>292</v>
      </c>
      <c r="E5" s="1">
        <v>322</v>
      </c>
      <c r="F5" s="4">
        <f>SUM(C5:E5)</f>
        <v>1262</v>
      </c>
      <c r="G5" s="1">
        <v>18</v>
      </c>
      <c r="H5" s="4">
        <f>F5*G5</f>
        <v>22716</v>
      </c>
    </row>
    <row r="6" spans="2:8" ht="21.95" customHeight="1" x14ac:dyDescent="0.4">
      <c r="B6" s="1" t="s">
        <v>12</v>
      </c>
      <c r="C6" s="1">
        <v>612</v>
      </c>
      <c r="D6" s="1">
        <v>793</v>
      </c>
      <c r="E6" s="1">
        <v>594</v>
      </c>
      <c r="F6" s="4">
        <f t="shared" ref="F6:F8" si="0">SUM(C6:E6)</f>
        <v>1999</v>
      </c>
      <c r="G6" s="1">
        <v>16</v>
      </c>
      <c r="H6" s="4">
        <f t="shared" ref="H6:H8" si="1">F6*G6</f>
        <v>31984</v>
      </c>
    </row>
    <row r="7" spans="2:8" ht="21.95" customHeight="1" x14ac:dyDescent="0.4">
      <c r="B7" s="1" t="s">
        <v>13</v>
      </c>
      <c r="C7" s="1">
        <v>183</v>
      </c>
      <c r="D7" s="1">
        <v>208</v>
      </c>
      <c r="E7" s="1">
        <v>378</v>
      </c>
      <c r="F7" s="4">
        <f t="shared" si="0"/>
        <v>769</v>
      </c>
      <c r="G7" s="1">
        <v>12</v>
      </c>
      <c r="H7" s="4">
        <f t="shared" si="1"/>
        <v>9228</v>
      </c>
    </row>
    <row r="8" spans="2:8" ht="21.95" customHeight="1" x14ac:dyDescent="0.4">
      <c r="B8" s="1" t="s">
        <v>10</v>
      </c>
      <c r="C8" s="1">
        <v>978</v>
      </c>
      <c r="D8" s="1">
        <v>537</v>
      </c>
      <c r="E8" s="1">
        <v>836</v>
      </c>
      <c r="F8" s="4">
        <f t="shared" si="0"/>
        <v>2351</v>
      </c>
      <c r="G8" s="1">
        <v>10</v>
      </c>
      <c r="H8" s="4">
        <f t="shared" si="1"/>
        <v>23510</v>
      </c>
    </row>
    <row r="9" spans="2:8" ht="21.95" customHeight="1" x14ac:dyDescent="0.4">
      <c r="B9" s="1" t="s">
        <v>3</v>
      </c>
      <c r="C9" s="4">
        <f>SUM(C5:C8)</f>
        <v>2421</v>
      </c>
      <c r="D9" s="4">
        <f t="shared" ref="D9:F9" si="2">SUM(D5:D8)</f>
        <v>1830</v>
      </c>
      <c r="E9" s="4">
        <f t="shared" si="2"/>
        <v>2130</v>
      </c>
      <c r="F9" s="4">
        <f t="shared" si="2"/>
        <v>6381</v>
      </c>
      <c r="G9" s="2" t="s">
        <v>6</v>
      </c>
      <c r="H9" s="4">
        <f>SUM(H5:H8)</f>
        <v>87438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A36E-992E-4360-B46A-2F8D796FE3B4}">
  <dimension ref="B3:H9"/>
  <sheetViews>
    <sheetView zoomScale="200" zoomScaleNormal="200" workbookViewId="0">
      <selection activeCell="F18" sqref="F18"/>
    </sheetView>
  </sheetViews>
  <sheetFormatPr defaultRowHeight="18.75" x14ac:dyDescent="0.4"/>
  <cols>
    <col min="2" max="2" width="17.5" bestFit="1" customWidth="1"/>
    <col min="3" max="5" width="14" customWidth="1"/>
    <col min="6" max="6" width="13.25" bestFit="1" customWidth="1"/>
    <col min="8" max="8" width="15.375" bestFit="1" customWidth="1"/>
  </cols>
  <sheetData>
    <row r="3" spans="2:8" ht="21.95" customHeight="1" x14ac:dyDescent="0.4">
      <c r="B3" s="1"/>
      <c r="C3" s="1"/>
      <c r="D3" s="1"/>
      <c r="E3" s="1"/>
      <c r="F3" s="1" t="s">
        <v>0</v>
      </c>
      <c r="G3" s="1"/>
      <c r="H3" s="1" t="s">
        <v>1</v>
      </c>
    </row>
    <row r="4" spans="2:8" ht="21.95" customHeight="1" x14ac:dyDescent="0.4">
      <c r="B4" s="3" t="s">
        <v>2</v>
      </c>
      <c r="C4" s="3" t="s">
        <v>7</v>
      </c>
      <c r="D4" s="3" t="s">
        <v>8</v>
      </c>
      <c r="E4" s="3" t="s">
        <v>9</v>
      </c>
      <c r="F4" s="3" t="s">
        <v>3</v>
      </c>
      <c r="G4" s="3" t="s">
        <v>4</v>
      </c>
      <c r="H4" s="3" t="s">
        <v>5</v>
      </c>
    </row>
    <row r="5" spans="2:8" ht="21.95" customHeight="1" x14ac:dyDescent="0.4">
      <c r="B5" s="1" t="s">
        <v>11</v>
      </c>
      <c r="C5" s="1">
        <v>648</v>
      </c>
      <c r="D5" s="1">
        <v>292</v>
      </c>
      <c r="E5" s="1">
        <v>322</v>
      </c>
      <c r="F5" s="4">
        <f>SUM(C5:E5)</f>
        <v>1262</v>
      </c>
      <c r="G5" s="1">
        <v>18</v>
      </c>
      <c r="H5" s="4">
        <f>F5*G5</f>
        <v>22716</v>
      </c>
    </row>
    <row r="6" spans="2:8" ht="21.95" customHeight="1" x14ac:dyDescent="0.4">
      <c r="B6" s="1" t="s">
        <v>12</v>
      </c>
      <c r="C6" s="1">
        <v>612</v>
      </c>
      <c r="D6" s="1">
        <v>793</v>
      </c>
      <c r="E6" s="1">
        <v>594</v>
      </c>
      <c r="F6" s="4">
        <f t="shared" ref="F6:F8" si="0">SUM(C6:E6)</f>
        <v>1999</v>
      </c>
      <c r="G6" s="1">
        <v>16</v>
      </c>
      <c r="H6" s="4">
        <f t="shared" ref="H6:H8" si="1">F6*G6</f>
        <v>31984</v>
      </c>
    </row>
    <row r="7" spans="2:8" ht="21.95" customHeight="1" x14ac:dyDescent="0.4">
      <c r="B7" s="1" t="s">
        <v>13</v>
      </c>
      <c r="C7" s="1">
        <v>183</v>
      </c>
      <c r="D7" s="1">
        <v>208</v>
      </c>
      <c r="E7" s="1">
        <v>378</v>
      </c>
      <c r="F7" s="4">
        <f t="shared" si="0"/>
        <v>769</v>
      </c>
      <c r="G7" s="1">
        <v>12</v>
      </c>
      <c r="H7" s="4">
        <f t="shared" si="1"/>
        <v>9228</v>
      </c>
    </row>
    <row r="8" spans="2:8" ht="21.95" customHeight="1" x14ac:dyDescent="0.4">
      <c r="B8" s="1" t="s">
        <v>10</v>
      </c>
      <c r="C8" s="1">
        <v>978</v>
      </c>
      <c r="D8" s="1">
        <v>537</v>
      </c>
      <c r="E8" s="1">
        <v>836</v>
      </c>
      <c r="F8" s="4">
        <f t="shared" si="0"/>
        <v>2351</v>
      </c>
      <c r="G8" s="1">
        <v>10</v>
      </c>
      <c r="H8" s="4">
        <f t="shared" si="1"/>
        <v>23510</v>
      </c>
    </row>
    <row r="9" spans="2:8" ht="21.95" customHeight="1" x14ac:dyDescent="0.4">
      <c r="B9" s="1" t="s">
        <v>3</v>
      </c>
      <c r="C9" s="4">
        <f>SUM(C5:C8)</f>
        <v>2421</v>
      </c>
      <c r="D9" s="4">
        <f t="shared" ref="D9:F9" si="2">SUM(D5:D8)</f>
        <v>1830</v>
      </c>
      <c r="E9" s="4">
        <f t="shared" si="2"/>
        <v>2130</v>
      </c>
      <c r="F9" s="4">
        <f t="shared" si="2"/>
        <v>6381</v>
      </c>
      <c r="G9" s="2" t="s">
        <v>6</v>
      </c>
      <c r="H9" s="4">
        <f>SUM(H5:H8)</f>
        <v>87438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グラフ</vt:lpstr>
      </vt:variant>
      <vt:variant>
        <vt:i4>1</vt:i4>
      </vt:variant>
    </vt:vector>
  </HeadingPairs>
  <TitlesOfParts>
    <vt:vector size="3" baseType="lpstr">
      <vt:lpstr>Data</vt:lpstr>
      <vt:lpstr>Data (2)</vt:lpstr>
      <vt:lpstr>カード別グラフ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2025-11-15T13:39:55Z</dcterms:created>
  <dcterms:modified xsi:type="dcterms:W3CDTF">2025-11-17T14:09:46Z</dcterms:modified>
</cp:coreProperties>
</file>