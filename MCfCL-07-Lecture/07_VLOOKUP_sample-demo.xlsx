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tsu\github\2025-SIT-MCfCL\MCfCL-07-Lecture\"/>
    </mc:Choice>
  </mc:AlternateContent>
  <xr:revisionPtr revIDLastSave="0" documentId="13_ncr:1_{2B8DE762-0A58-4C9F-BDE2-6CF60BD61B9E}" xr6:coauthVersionLast="47" xr6:coauthVersionMax="47" xr10:uidLastSave="{00000000-0000-0000-0000-000000000000}"/>
  <bookViews>
    <workbookView xWindow="28695" yWindow="0" windowWidth="29010" windowHeight="31785" tabRatio="681" activeTab="1" xr2:uid="{5EDB602A-1326-4062-91C3-B0230EC46F06}"/>
  </bookViews>
  <sheets>
    <sheet name="例題1-商品" sheetId="1" r:id="rId1"/>
    <sheet name="例題2-評価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2" i="2"/>
  <c r="K3" i="1"/>
  <c r="K4" i="1"/>
  <c r="K5" i="1"/>
  <c r="K6" i="1"/>
  <c r="K2" i="1"/>
  <c r="J3" i="1"/>
  <c r="J4" i="1"/>
  <c r="J5" i="1"/>
  <c r="J6" i="1"/>
  <c r="J2" i="1"/>
  <c r="H3" i="1"/>
  <c r="H4" i="1"/>
  <c r="H5" i="1"/>
  <c r="H6" i="1"/>
  <c r="H2" i="1"/>
</calcChain>
</file>

<file path=xl/sharedStrings.xml><?xml version="1.0" encoding="utf-8"?>
<sst xmlns="http://schemas.openxmlformats.org/spreadsheetml/2006/main" count="118" uniqueCount="95">
  <si>
    <t>商品コード</t>
  </si>
  <si>
    <t>商品名</t>
  </si>
  <si>
    <t>分類</t>
  </si>
  <si>
    <t>単価（円）</t>
  </si>
  <si>
    <t>SKU-001</t>
  </si>
  <si>
    <t>高精度デジタルノギス</t>
  </si>
  <si>
    <t>測定機器</t>
  </si>
  <si>
    <t>SKU-002</t>
  </si>
  <si>
    <t>実験器具</t>
  </si>
  <si>
    <t>SKU-003</t>
  </si>
  <si>
    <t>プログラマブル直流電源</t>
  </si>
  <si>
    <t>電子部品</t>
  </si>
  <si>
    <t>SKU-004</t>
  </si>
  <si>
    <t>ステンレス製ピンセット</t>
  </si>
  <si>
    <t>工具</t>
  </si>
  <si>
    <t>SKU-005</t>
  </si>
  <si>
    <t>オシロスコープ (2ch)</t>
  </si>
  <si>
    <t>SKU-006</t>
  </si>
  <si>
    <t>精密ドライバーセット</t>
  </si>
  <si>
    <t>SKU-007</t>
  </si>
  <si>
    <t>3Dプリンタ用フィラメント (PLA)</t>
  </si>
  <si>
    <t>素材</t>
  </si>
  <si>
    <t>SKU-008</t>
  </si>
  <si>
    <t>Arduino Uno R3</t>
  </si>
  <si>
    <t>SKU-009</t>
  </si>
  <si>
    <t>安全ゴーグル (防曇)</t>
  </si>
  <si>
    <t>安全用品</t>
  </si>
  <si>
    <t>SKU-010</t>
  </si>
  <si>
    <t>デジタルマルチメータ</t>
  </si>
  <si>
    <t>SKU-011</t>
  </si>
  <si>
    <t>SKU-012</t>
  </si>
  <si>
    <t>SKU-013</t>
  </si>
  <si>
    <t>カーボンファイバーシート</t>
  </si>
  <si>
    <t>SKU-014</t>
  </si>
  <si>
    <t>実験ノート (A4・方眼)</t>
  </si>
  <si>
    <t>文房具</t>
  </si>
  <si>
    <t>SKU-015</t>
  </si>
  <si>
    <t>レーザー距離計</t>
  </si>
  <si>
    <t>SKU-016</t>
  </si>
  <si>
    <t>耐薬品性グローブ (100枚入)</t>
  </si>
  <si>
    <t>SKU-017</t>
  </si>
  <si>
    <t>モータードライバーモジュール</t>
  </si>
  <si>
    <t>SKU-018</t>
  </si>
  <si>
    <t>六角レンチセット (ミリ)</t>
  </si>
  <si>
    <t>SKU-019</t>
  </si>
  <si>
    <t>アルミ押出材 (2020) 1m</t>
  </si>
  <si>
    <t>SKU-020</t>
  </si>
  <si>
    <t>フラスコ (三角) 300ml</t>
  </si>
  <si>
    <t>商品コード</t>
    <rPh sb="0" eb="2">
      <t>ショウヒン</t>
    </rPh>
    <phoneticPr fontId="1"/>
  </si>
  <si>
    <t>数量</t>
    <rPh sb="0" eb="2">
      <t>スウリョウ</t>
    </rPh>
    <phoneticPr fontId="1"/>
  </si>
  <si>
    <t>単価</t>
    <rPh sb="0" eb="2">
      <t>タンカ</t>
    </rPh>
    <phoneticPr fontId="1"/>
  </si>
  <si>
    <t>金額</t>
    <rPh sb="0" eb="2">
      <t>キンガク</t>
    </rPh>
    <phoneticPr fontId="1"/>
  </si>
  <si>
    <t>商品名</t>
    <rPh sb="0" eb="3">
      <t>ショウヒンメイ</t>
    </rPh>
    <phoneticPr fontId="1"/>
  </si>
  <si>
    <t>ブレッドボード</t>
    <phoneticPr fontId="1"/>
  </si>
  <si>
    <t>はんだごてセット</t>
    <phoneticPr fontId="1"/>
  </si>
  <si>
    <t>実験器具</t>
    <phoneticPr fontId="1"/>
  </si>
  <si>
    <t>耐熱ビーカー 500ml</t>
    <phoneticPr fontId="1"/>
  </si>
  <si>
    <t>SKU-022</t>
    <phoneticPr fontId="1"/>
  </si>
  <si>
    <t>下限</t>
    <rPh sb="0" eb="2">
      <t>カゲン</t>
    </rPh>
    <phoneticPr fontId="1"/>
  </si>
  <si>
    <t>評価</t>
    <rPh sb="0" eb="2">
      <t>ヒョウカ</t>
    </rPh>
    <phoneticPr fontId="1"/>
  </si>
  <si>
    <t>D</t>
    <phoneticPr fontId="1"/>
  </si>
  <si>
    <t>C</t>
    <phoneticPr fontId="1"/>
  </si>
  <si>
    <t>B</t>
    <phoneticPr fontId="1"/>
  </si>
  <si>
    <t>A</t>
    <phoneticPr fontId="1"/>
  </si>
  <si>
    <t>S</t>
    <phoneticPr fontId="1"/>
  </si>
  <si>
    <t>備考</t>
    <rPh sb="0" eb="2">
      <t>ビコウ</t>
    </rPh>
    <phoneticPr fontId="1"/>
  </si>
  <si>
    <t>0点から59点までがD評価</t>
    <rPh sb="1" eb="2">
      <t>テン</t>
    </rPh>
    <rPh sb="6" eb="7">
      <t>テン</t>
    </rPh>
    <rPh sb="11" eb="13">
      <t>ヒョウカ</t>
    </rPh>
    <phoneticPr fontId="1"/>
  </si>
  <si>
    <t>60点から69点までがC評価</t>
    <rPh sb="2" eb="3">
      <t>テン</t>
    </rPh>
    <rPh sb="7" eb="8">
      <t>テン</t>
    </rPh>
    <rPh sb="12" eb="14">
      <t>ヒョウカ</t>
    </rPh>
    <phoneticPr fontId="1"/>
  </si>
  <si>
    <t>70点から79点までがB評価</t>
    <rPh sb="2" eb="3">
      <t>テン</t>
    </rPh>
    <rPh sb="7" eb="8">
      <t>テン</t>
    </rPh>
    <rPh sb="12" eb="14">
      <t>ヒョウカ</t>
    </rPh>
    <phoneticPr fontId="1"/>
  </si>
  <si>
    <t>80点から89点までがA評価</t>
    <rPh sb="2" eb="3">
      <t>テン</t>
    </rPh>
    <rPh sb="7" eb="8">
      <t>テン</t>
    </rPh>
    <rPh sb="12" eb="14">
      <t>ヒョウカ</t>
    </rPh>
    <phoneticPr fontId="1"/>
  </si>
  <si>
    <t>90点から100点までがS評価</t>
    <rPh sb="2" eb="3">
      <t>テン</t>
    </rPh>
    <rPh sb="8" eb="9">
      <t>テン</t>
    </rPh>
    <rPh sb="13" eb="15">
      <t>ヒョウカ</t>
    </rPh>
    <phoneticPr fontId="1"/>
  </si>
  <si>
    <t>T23001</t>
  </si>
  <si>
    <t>佐藤 健太</t>
  </si>
  <si>
    <t>T23002</t>
  </si>
  <si>
    <t>鈴木 結衣</t>
  </si>
  <si>
    <t>T23003</t>
  </si>
  <si>
    <t>高橋 翔太</t>
  </si>
  <si>
    <t>T23004</t>
  </si>
  <si>
    <t>田中 美咲</t>
  </si>
  <si>
    <t>T23005</t>
  </si>
  <si>
    <t>伊藤 蓮</t>
  </si>
  <si>
    <t>T23006</t>
  </si>
  <si>
    <t>渡辺 杏奈</t>
  </si>
  <si>
    <t>T23007</t>
  </si>
  <si>
    <t>山本 拓海</t>
  </si>
  <si>
    <t>T23008</t>
  </si>
  <si>
    <t>中村 陽菜</t>
  </si>
  <si>
    <t>T23009</t>
  </si>
  <si>
    <t>小林 颯真</t>
  </si>
  <si>
    <t>T23010</t>
  </si>
  <si>
    <t>加藤 愛梨</t>
  </si>
  <si>
    <t>学籍番号</t>
    <rPh sb="0" eb="2">
      <t>ガクセキ</t>
    </rPh>
    <rPh sb="2" eb="4">
      <t>バンゴウ</t>
    </rPh>
    <phoneticPr fontId="1"/>
  </si>
  <si>
    <t>氏名</t>
    <rPh sb="0" eb="2">
      <t>シメイ</t>
    </rPh>
    <phoneticPr fontId="1"/>
  </si>
  <si>
    <t>点数</t>
    <rPh sb="0" eb="2">
      <t>テンスウ</t>
    </rPh>
    <phoneticPr fontId="1"/>
  </si>
  <si>
    <t>エラーが発生する場合</t>
    <rPh sb="4" eb="6">
      <t>ハッセイ</t>
    </rPh>
    <rPh sb="8" eb="10">
      <t>バアイ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</si>
</sst>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1B1C1D"/>
      <name val="UD Digi Kyokasho NP-R"/>
      <family val="1"/>
      <charset val="128"/>
    </font>
    <font>
      <sz val="11"/>
      <color rgb="FF1B1C1D"/>
      <name val="UD Digi Kyokasho NP-R"/>
      <family val="1"/>
      <charset val="128"/>
    </font>
    <font>
      <sz val="11"/>
      <color theme="1"/>
      <name val="UD Digi Kyokasho NP-R"/>
      <family val="1"/>
      <charset val="128"/>
    </font>
    <font>
      <sz val="11"/>
      <color theme="1"/>
      <name val="游ゴシック"/>
      <family val="2"/>
      <charset val="128"/>
      <scheme val="minor"/>
    </font>
    <font>
      <b/>
      <sz val="11"/>
      <color theme="1"/>
      <name val="UD Digi Kyokasho NP-R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38" fontId="5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4" fillId="3" borderId="0" xfId="0" applyFont="1" applyFill="1">
      <alignment vertical="center"/>
    </xf>
    <xf numFmtId="0" fontId="2" fillId="2" borderId="0" xfId="0" applyFont="1" applyFill="1" applyAlignment="1" applyProtection="1">
      <alignment horizontal="left" vertical="center" wrapText="1" indent="1" readingOrder="1"/>
      <protection locked="0"/>
    </xf>
    <xf numFmtId="0" fontId="3" fillId="0" borderId="0" xfId="0" applyFont="1" applyAlignment="1" applyProtection="1">
      <alignment horizontal="left" vertical="center" wrapText="1" indent="1" readingOrder="1"/>
      <protection locked="0"/>
    </xf>
    <xf numFmtId="176" fontId="3" fillId="0" borderId="0" xfId="0" applyNumberFormat="1" applyFont="1" applyAlignment="1" applyProtection="1">
      <alignment horizontal="right" vertical="center" wrapText="1" indent="1" readingOrder="1"/>
      <protection locked="0"/>
    </xf>
    <xf numFmtId="0" fontId="2" fillId="2" borderId="0" xfId="0" applyFont="1" applyFill="1" applyAlignment="1" applyProtection="1">
      <alignment horizontal="center" vertical="center" wrapText="1" readingOrder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76" fontId="4" fillId="4" borderId="0" xfId="1" applyNumberFormat="1" applyFont="1" applyFill="1">
      <alignment vertical="center"/>
    </xf>
    <xf numFmtId="176" fontId="4" fillId="0" borderId="0" xfId="1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 wrapText="1" indent="1" readingOrder="1"/>
    </xf>
    <xf numFmtId="0" fontId="3" fillId="0" borderId="0" xfId="0" applyFont="1" applyBorder="1" applyAlignment="1">
      <alignment horizontal="center" vertical="center" wrapText="1" readingOrder="1"/>
    </xf>
    <xf numFmtId="0" fontId="4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D5DFD-8EC8-4354-9B48-5B9FCB278CF5}">
  <dimension ref="A1:K21"/>
  <sheetViews>
    <sheetView zoomScaleNormal="100" workbookViewId="0">
      <selection activeCell="H19" sqref="H19"/>
    </sheetView>
  </sheetViews>
  <sheetFormatPr defaultRowHeight="18.75" x14ac:dyDescent="0.4"/>
  <cols>
    <col min="1" max="1" width="13.625" bestFit="1" customWidth="1"/>
    <col min="2" max="2" width="34.875" bestFit="1" customWidth="1"/>
    <col min="3" max="3" width="10.75" bestFit="1" customWidth="1"/>
    <col min="4" max="4" width="13.625" bestFit="1" customWidth="1"/>
    <col min="7" max="7" width="13.625" bestFit="1" customWidth="1"/>
    <col min="8" max="8" width="33.25" bestFit="1" customWidth="1"/>
    <col min="10" max="11" width="10.75" bestFit="1" customWidth="1"/>
  </cols>
  <sheetData>
    <row r="1" spans="1:11" x14ac:dyDescent="0.4">
      <c r="A1" s="2" t="s">
        <v>0</v>
      </c>
      <c r="B1" s="2" t="s">
        <v>1</v>
      </c>
      <c r="C1" s="2" t="s">
        <v>2</v>
      </c>
      <c r="D1" s="2" t="s">
        <v>3</v>
      </c>
      <c r="G1" s="5" t="s">
        <v>48</v>
      </c>
      <c r="H1" s="5" t="s">
        <v>52</v>
      </c>
      <c r="I1" s="5" t="s">
        <v>49</v>
      </c>
      <c r="J1" s="5" t="s">
        <v>50</v>
      </c>
      <c r="K1" s="5" t="s">
        <v>51</v>
      </c>
    </row>
    <row r="2" spans="1:11" x14ac:dyDescent="0.4">
      <c r="A2" s="3" t="s">
        <v>4</v>
      </c>
      <c r="B2" s="3" t="s">
        <v>5</v>
      </c>
      <c r="C2" s="3" t="s">
        <v>6</v>
      </c>
      <c r="D2" s="4">
        <v>4500</v>
      </c>
      <c r="G2" s="3" t="s">
        <v>30</v>
      </c>
      <c r="H2" s="1" t="str">
        <f>VLOOKUP(G2,$A$2:$D$21,2,FALSE)</f>
        <v>ブレッドボード</v>
      </c>
      <c r="I2" s="6">
        <v>7</v>
      </c>
      <c r="J2" s="7">
        <f>VLOOKUP(G2,$A$2:$D$21,4,FALSE)</f>
        <v>500</v>
      </c>
      <c r="K2" s="8">
        <f>I2*J2</f>
        <v>3500</v>
      </c>
    </row>
    <row r="3" spans="1:11" x14ac:dyDescent="0.4">
      <c r="A3" s="3" t="s">
        <v>7</v>
      </c>
      <c r="B3" s="3" t="s">
        <v>56</v>
      </c>
      <c r="C3" s="3" t="s">
        <v>8</v>
      </c>
      <c r="D3" s="4">
        <v>1200</v>
      </c>
      <c r="G3" s="3" t="s">
        <v>9</v>
      </c>
      <c r="H3" s="1" t="str">
        <f t="shared" ref="H3:H7" si="0">VLOOKUP(G3,$A$2:$D$21,2,FALSE)</f>
        <v>プログラマブル直流電源</v>
      </c>
      <c r="I3" s="6">
        <v>3</v>
      </c>
      <c r="J3" s="7">
        <f t="shared" ref="J3:J6" si="1">VLOOKUP(G3,$A$2:$D$21,4,FALSE)</f>
        <v>28000</v>
      </c>
      <c r="K3" s="8">
        <f t="shared" ref="K3:K6" si="2">I3*J3</f>
        <v>84000</v>
      </c>
    </row>
    <row r="4" spans="1:11" x14ac:dyDescent="0.4">
      <c r="A4" s="3" t="s">
        <v>9</v>
      </c>
      <c r="B4" s="3" t="s">
        <v>10</v>
      </c>
      <c r="C4" s="3" t="s">
        <v>11</v>
      </c>
      <c r="D4" s="4">
        <v>28000</v>
      </c>
      <c r="G4" s="3" t="s">
        <v>40</v>
      </c>
      <c r="H4" s="1" t="str">
        <f t="shared" si="0"/>
        <v>モータードライバーモジュール</v>
      </c>
      <c r="I4" s="6">
        <v>5</v>
      </c>
      <c r="J4" s="7">
        <f t="shared" si="1"/>
        <v>1300</v>
      </c>
      <c r="K4" s="8">
        <f t="shared" si="2"/>
        <v>6500</v>
      </c>
    </row>
    <row r="5" spans="1:11" x14ac:dyDescent="0.4">
      <c r="A5" s="3" t="s">
        <v>12</v>
      </c>
      <c r="B5" s="3" t="s">
        <v>13</v>
      </c>
      <c r="C5" s="3" t="s">
        <v>14</v>
      </c>
      <c r="D5" s="4">
        <v>850</v>
      </c>
      <c r="G5" s="3" t="s">
        <v>27</v>
      </c>
      <c r="H5" s="1" t="str">
        <f t="shared" si="0"/>
        <v>デジタルマルチメータ</v>
      </c>
      <c r="I5" s="6">
        <v>9</v>
      </c>
      <c r="J5" s="7">
        <f t="shared" si="1"/>
        <v>3800</v>
      </c>
      <c r="K5" s="8">
        <f t="shared" si="2"/>
        <v>34200</v>
      </c>
    </row>
    <row r="6" spans="1:11" x14ac:dyDescent="0.4">
      <c r="A6" s="3" t="s">
        <v>15</v>
      </c>
      <c r="B6" s="3" t="s">
        <v>16</v>
      </c>
      <c r="C6" s="3" t="s">
        <v>6</v>
      </c>
      <c r="D6" s="4">
        <v>42000</v>
      </c>
      <c r="G6" s="3" t="s">
        <v>19</v>
      </c>
      <c r="H6" s="1" t="str">
        <f t="shared" si="0"/>
        <v>3Dプリンタ用フィラメント (PLA)</v>
      </c>
      <c r="I6" s="6">
        <v>3</v>
      </c>
      <c r="J6" s="7">
        <f t="shared" si="1"/>
        <v>3000</v>
      </c>
      <c r="K6" s="8">
        <f t="shared" si="2"/>
        <v>9000</v>
      </c>
    </row>
    <row r="7" spans="1:11" x14ac:dyDescent="0.4">
      <c r="A7" s="3" t="s">
        <v>17</v>
      </c>
      <c r="B7" s="3" t="s">
        <v>18</v>
      </c>
      <c r="C7" s="3" t="s">
        <v>14</v>
      </c>
      <c r="D7" s="4">
        <v>2300</v>
      </c>
    </row>
    <row r="8" spans="1:11" x14ac:dyDescent="0.4">
      <c r="A8" s="3" t="s">
        <v>19</v>
      </c>
      <c r="B8" s="3" t="s">
        <v>20</v>
      </c>
      <c r="C8" s="3" t="s">
        <v>21</v>
      </c>
      <c r="D8" s="4">
        <v>3000</v>
      </c>
    </row>
    <row r="9" spans="1:11" x14ac:dyDescent="0.4">
      <c r="A9" s="3" t="s">
        <v>22</v>
      </c>
      <c r="B9" s="3" t="s">
        <v>23</v>
      </c>
      <c r="C9" s="3" t="s">
        <v>11</v>
      </c>
      <c r="D9" s="4">
        <v>2500</v>
      </c>
    </row>
    <row r="10" spans="1:11" x14ac:dyDescent="0.4">
      <c r="A10" s="3" t="s">
        <v>24</v>
      </c>
      <c r="B10" s="3" t="s">
        <v>25</v>
      </c>
      <c r="C10" s="3" t="s">
        <v>26</v>
      </c>
      <c r="D10" s="4">
        <v>1500</v>
      </c>
      <c r="G10" s="15" t="s">
        <v>94</v>
      </c>
      <c r="H10" s="15"/>
      <c r="I10" s="15"/>
      <c r="J10" s="15"/>
      <c r="K10" s="15"/>
    </row>
    <row r="11" spans="1:11" x14ac:dyDescent="0.4">
      <c r="A11" s="3" t="s">
        <v>27</v>
      </c>
      <c r="B11" s="3" t="s">
        <v>28</v>
      </c>
      <c r="C11" s="3" t="s">
        <v>6</v>
      </c>
      <c r="D11" s="4">
        <v>3800</v>
      </c>
      <c r="G11" s="5" t="s">
        <v>48</v>
      </c>
      <c r="H11" s="5" t="s">
        <v>52</v>
      </c>
      <c r="I11" s="5" t="s">
        <v>49</v>
      </c>
      <c r="J11" s="5" t="s">
        <v>50</v>
      </c>
      <c r="K11" s="5" t="s">
        <v>51</v>
      </c>
    </row>
    <row r="12" spans="1:11" x14ac:dyDescent="0.4">
      <c r="A12" s="3" t="s">
        <v>29</v>
      </c>
      <c r="B12" s="3" t="s">
        <v>54</v>
      </c>
      <c r="C12" s="3" t="s">
        <v>14</v>
      </c>
      <c r="D12" s="4">
        <v>3200</v>
      </c>
      <c r="G12" s="3" t="s">
        <v>57</v>
      </c>
      <c r="H12" s="1"/>
      <c r="I12" s="6">
        <v>8</v>
      </c>
      <c r="J12" s="7"/>
      <c r="K12" s="8"/>
    </row>
    <row r="13" spans="1:11" x14ac:dyDescent="0.4">
      <c r="A13" s="3" t="s">
        <v>30</v>
      </c>
      <c r="B13" s="3" t="s">
        <v>53</v>
      </c>
      <c r="C13" s="3" t="s">
        <v>11</v>
      </c>
      <c r="D13" s="4">
        <v>500</v>
      </c>
    </row>
    <row r="14" spans="1:11" x14ac:dyDescent="0.4">
      <c r="A14" s="3" t="s">
        <v>31</v>
      </c>
      <c r="B14" s="3" t="s">
        <v>32</v>
      </c>
      <c r="C14" s="3" t="s">
        <v>21</v>
      </c>
      <c r="D14" s="4">
        <v>6000</v>
      </c>
    </row>
    <row r="15" spans="1:11" x14ac:dyDescent="0.4">
      <c r="A15" s="3" t="s">
        <v>33</v>
      </c>
      <c r="B15" s="3" t="s">
        <v>34</v>
      </c>
      <c r="C15" s="3" t="s">
        <v>35</v>
      </c>
      <c r="D15" s="4">
        <v>700</v>
      </c>
    </row>
    <row r="16" spans="1:11" x14ac:dyDescent="0.4">
      <c r="A16" s="3" t="s">
        <v>36</v>
      </c>
      <c r="B16" s="3" t="s">
        <v>37</v>
      </c>
      <c r="C16" s="3" t="s">
        <v>6</v>
      </c>
      <c r="D16" s="4">
        <v>8800</v>
      </c>
    </row>
    <row r="17" spans="1:4" x14ac:dyDescent="0.4">
      <c r="A17" s="3" t="s">
        <v>38</v>
      </c>
      <c r="B17" s="3" t="s">
        <v>39</v>
      </c>
      <c r="C17" s="3" t="s">
        <v>26</v>
      </c>
      <c r="D17" s="4">
        <v>2100</v>
      </c>
    </row>
    <row r="18" spans="1:4" x14ac:dyDescent="0.4">
      <c r="A18" s="3" t="s">
        <v>40</v>
      </c>
      <c r="B18" s="3" t="s">
        <v>41</v>
      </c>
      <c r="C18" s="3" t="s">
        <v>11</v>
      </c>
      <c r="D18" s="4">
        <v>1300</v>
      </c>
    </row>
    <row r="19" spans="1:4" x14ac:dyDescent="0.4">
      <c r="A19" s="3" t="s">
        <v>42</v>
      </c>
      <c r="B19" s="3" t="s">
        <v>43</v>
      </c>
      <c r="C19" s="3" t="s">
        <v>14</v>
      </c>
      <c r="D19" s="4">
        <v>1900</v>
      </c>
    </row>
    <row r="20" spans="1:4" x14ac:dyDescent="0.4">
      <c r="A20" s="3" t="s">
        <v>44</v>
      </c>
      <c r="B20" s="3" t="s">
        <v>45</v>
      </c>
      <c r="C20" s="3" t="s">
        <v>21</v>
      </c>
      <c r="D20" s="4">
        <v>1100</v>
      </c>
    </row>
    <row r="21" spans="1:4" x14ac:dyDescent="0.4">
      <c r="A21" s="3" t="s">
        <v>46</v>
      </c>
      <c r="B21" s="3" t="s">
        <v>47</v>
      </c>
      <c r="C21" s="3" t="s">
        <v>55</v>
      </c>
      <c r="D21" s="4">
        <v>950</v>
      </c>
    </row>
  </sheetData>
  <mergeCells count="1">
    <mergeCell ref="G10:K10"/>
  </mergeCells>
  <phoneticPr fontId="1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6A8BA-1F8A-4FC2-AC7A-90B2745F3516}">
  <dimension ref="A1:I11"/>
  <sheetViews>
    <sheetView tabSelected="1" zoomScale="200" zoomScaleNormal="200" workbookViewId="0">
      <selection activeCell="C11" sqref="C11"/>
    </sheetView>
  </sheetViews>
  <sheetFormatPr defaultRowHeight="18.75" x14ac:dyDescent="0.4"/>
  <cols>
    <col min="3" max="3" width="25.25" bestFit="1" customWidth="1"/>
    <col min="6" max="6" width="9.5" customWidth="1"/>
    <col min="7" max="7" width="11.625" bestFit="1" customWidth="1"/>
  </cols>
  <sheetData>
    <row r="1" spans="1:9" ht="21.95" customHeight="1" x14ac:dyDescent="0.4">
      <c r="A1" s="10" t="s">
        <v>58</v>
      </c>
      <c r="B1" s="10" t="s">
        <v>59</v>
      </c>
      <c r="C1" s="10" t="s">
        <v>65</v>
      </c>
      <c r="F1" s="10" t="s">
        <v>91</v>
      </c>
      <c r="G1" s="10" t="s">
        <v>92</v>
      </c>
      <c r="H1" s="10" t="s">
        <v>93</v>
      </c>
      <c r="I1" s="10" t="s">
        <v>59</v>
      </c>
    </row>
    <row r="2" spans="1:9" ht="21.95" customHeight="1" x14ac:dyDescent="0.4">
      <c r="A2" s="9">
        <v>0</v>
      </c>
      <c r="B2" s="9" t="s">
        <v>60</v>
      </c>
      <c r="C2" s="11" t="s">
        <v>66</v>
      </c>
      <c r="F2" s="12" t="s">
        <v>71</v>
      </c>
      <c r="G2" s="12" t="s">
        <v>72</v>
      </c>
      <c r="H2" s="13">
        <v>85</v>
      </c>
      <c r="I2" s="14" t="str">
        <f>VLOOKUP(H2,$A$2:$B$6,2,TRUE)</f>
        <v>A</v>
      </c>
    </row>
    <row r="3" spans="1:9" ht="21.95" customHeight="1" x14ac:dyDescent="0.4">
      <c r="A3" s="9">
        <v>60</v>
      </c>
      <c r="B3" s="9" t="s">
        <v>61</v>
      </c>
      <c r="C3" s="11" t="s">
        <v>67</v>
      </c>
      <c r="F3" s="12" t="s">
        <v>73</v>
      </c>
      <c r="G3" s="12" t="s">
        <v>74</v>
      </c>
      <c r="H3" s="13">
        <v>92</v>
      </c>
      <c r="I3" s="14" t="str">
        <f t="shared" ref="I3:I11" si="0">VLOOKUP(H3,$A$2:$B$6,2,TRUE)</f>
        <v>S</v>
      </c>
    </row>
    <row r="4" spans="1:9" ht="21.95" customHeight="1" x14ac:dyDescent="0.4">
      <c r="A4" s="9">
        <v>70</v>
      </c>
      <c r="B4" s="9" t="s">
        <v>62</v>
      </c>
      <c r="C4" s="11" t="s">
        <v>68</v>
      </c>
      <c r="F4" s="12" t="s">
        <v>75</v>
      </c>
      <c r="G4" s="12" t="s">
        <v>76</v>
      </c>
      <c r="H4" s="13">
        <v>78</v>
      </c>
      <c r="I4" s="14" t="str">
        <f t="shared" si="0"/>
        <v>B</v>
      </c>
    </row>
    <row r="5" spans="1:9" ht="21.95" customHeight="1" x14ac:dyDescent="0.4">
      <c r="A5" s="9">
        <v>80</v>
      </c>
      <c r="B5" s="9" t="s">
        <v>63</v>
      </c>
      <c r="C5" s="11" t="s">
        <v>69</v>
      </c>
      <c r="F5" s="12" t="s">
        <v>77</v>
      </c>
      <c r="G5" s="12" t="s">
        <v>78</v>
      </c>
      <c r="H5" s="13">
        <v>64</v>
      </c>
      <c r="I5" s="14" t="str">
        <f t="shared" si="0"/>
        <v>C</v>
      </c>
    </row>
    <row r="6" spans="1:9" ht="21.95" customHeight="1" x14ac:dyDescent="0.4">
      <c r="A6" s="9">
        <v>90</v>
      </c>
      <c r="B6" s="9" t="s">
        <v>64</v>
      </c>
      <c r="C6" s="11" t="s">
        <v>70</v>
      </c>
      <c r="F6" s="12" t="s">
        <v>79</v>
      </c>
      <c r="G6" s="12" t="s">
        <v>80</v>
      </c>
      <c r="H6" s="13">
        <v>45</v>
      </c>
      <c r="I6" s="14" t="str">
        <f t="shared" si="0"/>
        <v>D</v>
      </c>
    </row>
    <row r="7" spans="1:9" ht="21.95" customHeight="1" x14ac:dyDescent="0.4">
      <c r="F7" s="12" t="s">
        <v>81</v>
      </c>
      <c r="G7" s="12" t="s">
        <v>82</v>
      </c>
      <c r="H7" s="13">
        <v>88</v>
      </c>
      <c r="I7" s="14" t="str">
        <f t="shared" si="0"/>
        <v>A</v>
      </c>
    </row>
    <row r="8" spans="1:9" ht="21.95" customHeight="1" x14ac:dyDescent="0.4">
      <c r="F8" s="12" t="s">
        <v>83</v>
      </c>
      <c r="G8" s="12" t="s">
        <v>84</v>
      </c>
      <c r="H8" s="13">
        <v>59</v>
      </c>
      <c r="I8" s="14" t="str">
        <f t="shared" si="0"/>
        <v>D</v>
      </c>
    </row>
    <row r="9" spans="1:9" ht="21.95" customHeight="1" x14ac:dyDescent="0.4">
      <c r="F9" s="12" t="s">
        <v>85</v>
      </c>
      <c r="G9" s="12" t="s">
        <v>86</v>
      </c>
      <c r="H9" s="13">
        <v>95</v>
      </c>
      <c r="I9" s="14" t="str">
        <f t="shared" si="0"/>
        <v>S</v>
      </c>
    </row>
    <row r="10" spans="1:9" ht="21.95" customHeight="1" x14ac:dyDescent="0.4">
      <c r="F10" s="12" t="s">
        <v>87</v>
      </c>
      <c r="G10" s="12" t="s">
        <v>88</v>
      </c>
      <c r="H10" s="13">
        <v>72</v>
      </c>
      <c r="I10" s="14" t="str">
        <f t="shared" si="0"/>
        <v>B</v>
      </c>
    </row>
    <row r="11" spans="1:9" ht="21.95" customHeight="1" x14ac:dyDescent="0.4">
      <c r="F11" s="12" t="s">
        <v>89</v>
      </c>
      <c r="G11" s="12" t="s">
        <v>90</v>
      </c>
      <c r="H11" s="13">
        <v>81</v>
      </c>
      <c r="I11" s="14" t="str">
        <f t="shared" si="0"/>
        <v>A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例題1-商品</vt:lpstr>
      <vt:lpstr>例題2-評価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清水哲也</dc:creator>
  <cp:lastModifiedBy>清水哲也</cp:lastModifiedBy>
  <dcterms:created xsi:type="dcterms:W3CDTF">2025-11-02T02:47:21Z</dcterms:created>
  <dcterms:modified xsi:type="dcterms:W3CDTF">2025-11-02T07:55:55Z</dcterms:modified>
</cp:coreProperties>
</file>