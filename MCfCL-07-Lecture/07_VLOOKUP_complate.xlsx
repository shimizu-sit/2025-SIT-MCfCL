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etsu\github\2025-SIT-MCfCL\MCfCL-07-Lecture\"/>
    </mc:Choice>
  </mc:AlternateContent>
  <xr:revisionPtr revIDLastSave="0" documentId="13_ncr:1_{9AF8F1BC-27F5-477A-9CD0-0D7B3F3B019B}" xr6:coauthVersionLast="47" xr6:coauthVersionMax="47" xr10:uidLastSave="{00000000-0000-0000-0000-000000000000}"/>
  <bookViews>
    <workbookView xWindow="825" yWindow="5835" windowWidth="26925" windowHeight="18345" activeTab="3" xr2:uid="{00000000-000D-0000-FFFF-FFFF00000000}"/>
  </bookViews>
  <sheets>
    <sheet name="商品マスタ" sheetId="1" r:id="rId1"/>
    <sheet name="売上" sheetId="2" r:id="rId2"/>
    <sheet name="評価表" sheetId="3" r:id="rId3"/>
    <sheet name="評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" l="1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5" i="4"/>
  <c r="K5" i="2"/>
  <c r="K6" i="2"/>
  <c r="K7" i="2"/>
  <c r="K4" i="2"/>
  <c r="J5" i="2"/>
  <c r="J6" i="2"/>
  <c r="J7" i="2"/>
  <c r="J8" i="2"/>
  <c r="K8" i="2" s="1"/>
  <c r="J4" i="2"/>
  <c r="H5" i="2"/>
  <c r="H6" i="2"/>
  <c r="H7" i="2"/>
  <c r="H8" i="2"/>
  <c r="H4" i="2"/>
  <c r="G8" i="2"/>
  <c r="G5" i="2"/>
  <c r="G6" i="2"/>
  <c r="G7" i="2"/>
  <c r="G4" i="2"/>
</calcChain>
</file>

<file path=xl/sharedStrings.xml><?xml version="1.0" encoding="utf-8"?>
<sst xmlns="http://schemas.openxmlformats.org/spreadsheetml/2006/main" count="159" uniqueCount="142">
  <si>
    <t>商品コード</t>
  </si>
  <si>
    <t>商品名</t>
  </si>
  <si>
    <t>日付</t>
  </si>
  <si>
    <t>伝票No</t>
  </si>
  <si>
    <t>数量</t>
  </si>
  <si>
    <t>単価(参照)</t>
  </si>
  <si>
    <t>金額</t>
  </si>
  <si>
    <t>備考</t>
  </si>
  <si>
    <t>未登録コードの例</t>
  </si>
  <si>
    <t>下限点</t>
  </si>
  <si>
    <t>評価</t>
  </si>
  <si>
    <t>D</t>
  </si>
  <si>
    <t>C</t>
  </si>
  <si>
    <t>B</t>
  </si>
  <si>
    <t>A</t>
  </si>
  <si>
    <t>S</t>
  </si>
  <si>
    <t>氏名</t>
  </si>
  <si>
    <t>分類</t>
  </si>
  <si>
    <t>単価（円）</t>
  </si>
  <si>
    <t>P-001</t>
  </si>
  <si>
    <t>プレミアムブレンドコーヒー (200g)</t>
  </si>
  <si>
    <t>飲料</t>
  </si>
  <si>
    <t>P-002</t>
  </si>
  <si>
    <t>ワイヤレスイヤホン Pro</t>
  </si>
  <si>
    <t>家電</t>
  </si>
  <si>
    <t>P-003</t>
  </si>
  <si>
    <t>速乾スポーツタオル</t>
  </si>
  <si>
    <t>日用品</t>
  </si>
  <si>
    <t>P-004</t>
  </si>
  <si>
    <t>天然水 (2L, 6本入)</t>
  </si>
  <si>
    <t>P-005</t>
  </si>
  <si>
    <t>A4コピー用紙 (500枚)</t>
  </si>
  <si>
    <t>文房具</t>
  </si>
  <si>
    <t>P-006</t>
  </si>
  <si>
    <t>4K液晶テレビ (50インチ)</t>
  </si>
  <si>
    <t>P-007</t>
  </si>
  <si>
    <t>ゲルインクボールペン (黒, 3本)</t>
  </si>
  <si>
    <t>P-008</t>
  </si>
  <si>
    <t>敏感肌用化粧水 (150ml)</t>
  </si>
  <si>
    <t>化粧品</t>
  </si>
  <si>
    <t>P-009</t>
  </si>
  <si>
    <t>アルミ製ノートPCスタンド</t>
  </si>
  <si>
    <t>PC周辺機器</t>
  </si>
  <si>
    <t>P-010</t>
  </si>
  <si>
    <t>国産はちみつ (500g)</t>
  </si>
  <si>
    <t>食品</t>
  </si>
  <si>
    <t>P-011</t>
  </si>
  <si>
    <t>サイクロン式掃除機</t>
  </si>
  <si>
    <t>P-012</t>
  </si>
  <si>
    <t>抗菌マスク (30枚入)</t>
  </si>
  <si>
    <t>P-013</t>
  </si>
  <si>
    <t>ワイヤレスマウス</t>
  </si>
  <si>
    <t>P-014</t>
  </si>
  <si>
    <t>オーガニックシャンプー</t>
  </si>
  <si>
    <t>P-015</t>
  </si>
  <si>
    <t>ミネラルウォーター (500ml, 24本)</t>
  </si>
  <si>
    <t>P-016</t>
  </si>
  <si>
    <t>ビジネスリュック</t>
  </si>
  <si>
    <t>ファッション</t>
  </si>
  <si>
    <t>P-017</t>
  </si>
  <si>
    <t>ノートパソコン (14インチ)</t>
  </si>
  <si>
    <t>P-018</t>
  </si>
  <si>
    <t>小麦粉 (薄力粉 1kg)</t>
  </si>
  <si>
    <t>P-019</t>
  </si>
  <si>
    <t>多機能ペン (黒赤青+シャープ)</t>
  </si>
  <si>
    <t>P-020</t>
  </si>
  <si>
    <t>レトルトカレー (中辛, 5個)</t>
  </si>
  <si>
    <t>商品名</t>
    <rPh sb="0" eb="2">
      <t>ショウヒン</t>
    </rPh>
    <rPh sb="2" eb="3">
      <t>メイ</t>
    </rPh>
    <phoneticPr fontId="3"/>
  </si>
  <si>
    <t>分類</t>
    <rPh sb="0" eb="2">
      <t>ブンルイ</t>
    </rPh>
    <phoneticPr fontId="3"/>
  </si>
  <si>
    <t>P-012</t>
    <phoneticPr fontId="3"/>
  </si>
  <si>
    <t>P-010</t>
    <phoneticPr fontId="3"/>
  </si>
  <si>
    <t>P-003</t>
    <phoneticPr fontId="3"/>
  </si>
  <si>
    <t>P-019</t>
    <phoneticPr fontId="3"/>
  </si>
  <si>
    <t>P-999</t>
    <phoneticPr fontId="3"/>
  </si>
  <si>
    <t>学籍番号</t>
  </si>
  <si>
    <t>国語</t>
  </si>
  <si>
    <t>数学</t>
  </si>
  <si>
    <t>英語</t>
  </si>
  <si>
    <t>吉田 美優</t>
  </si>
  <si>
    <t>山田 蓮</t>
  </si>
  <si>
    <t>松本 さくら</t>
  </si>
  <si>
    <t>井上 翔</t>
  </si>
  <si>
    <t>木村 陽菜</t>
  </si>
  <si>
    <t>林 大輝</t>
  </si>
  <si>
    <t>森 結愛</t>
  </si>
  <si>
    <t>池田 悠真</t>
  </si>
  <si>
    <t>橋本 莉子</t>
  </si>
  <si>
    <t>阿部 湊</t>
  </si>
  <si>
    <t>石川 芽衣</t>
  </si>
  <si>
    <t>岡本 和樹</t>
  </si>
  <si>
    <t>長谷川 凛</t>
  </si>
  <si>
    <t>藤田 蒼</t>
  </si>
  <si>
    <t>近藤 美月</t>
  </si>
  <si>
    <t>遠藤 陸</t>
  </si>
  <si>
    <t>坂本 一翔</t>
  </si>
  <si>
    <t>村上 葵</t>
  </si>
  <si>
    <t>西村 陽向</t>
  </si>
  <si>
    <t>藤井 結菜</t>
  </si>
  <si>
    <t>平均</t>
    <rPh sb="0" eb="2">
      <t>ヘイキン</t>
    </rPh>
    <phoneticPr fontId="3"/>
  </si>
  <si>
    <t>評価</t>
    <rPh sb="0" eb="2">
      <t>ヒョウカ</t>
    </rPh>
    <phoneticPr fontId="3"/>
  </si>
  <si>
    <t>S25001</t>
  </si>
  <si>
    <t>佐藤 健太</t>
  </si>
  <si>
    <t>S25002</t>
  </si>
  <si>
    <t>鈴木 結衣</t>
  </si>
  <si>
    <t>S25003</t>
  </si>
  <si>
    <t>高橋 翔太</t>
  </si>
  <si>
    <t>S25004</t>
  </si>
  <si>
    <t>田中 美咲</t>
  </si>
  <si>
    <t>S25005</t>
  </si>
  <si>
    <t>伊藤 蓮</t>
  </si>
  <si>
    <t>S25006</t>
  </si>
  <si>
    <t>渡辺 杏奈</t>
  </si>
  <si>
    <t>S25007</t>
  </si>
  <si>
    <t>山本 拓海</t>
  </si>
  <si>
    <t>S25008</t>
  </si>
  <si>
    <t>中村 陽菜</t>
  </si>
  <si>
    <t>S25009</t>
  </si>
  <si>
    <t>小林 颯真</t>
  </si>
  <si>
    <t>S25010</t>
  </si>
  <si>
    <t>加藤 愛梨</t>
  </si>
  <si>
    <t>S25011</t>
  </si>
  <si>
    <t>S25012</t>
  </si>
  <si>
    <t>S25013</t>
  </si>
  <si>
    <t>S25014</t>
  </si>
  <si>
    <t>S25015</t>
  </si>
  <si>
    <t>S25016</t>
  </si>
  <si>
    <t>S25017</t>
  </si>
  <si>
    <t>S25018</t>
  </si>
  <si>
    <t>S25019</t>
  </si>
  <si>
    <t>S25020</t>
  </si>
  <si>
    <t>S25021</t>
  </si>
  <si>
    <t>S25022</t>
  </si>
  <si>
    <t>S25023</t>
  </si>
  <si>
    <t>S25024</t>
  </si>
  <si>
    <t>S25025</t>
  </si>
  <si>
    <t>S25026</t>
  </si>
  <si>
    <t>S25027</t>
  </si>
  <si>
    <t>S25028</t>
  </si>
  <si>
    <t>S25029</t>
  </si>
  <si>
    <t>S25030</t>
  </si>
  <si>
    <t>上限点</t>
    <rPh sb="0" eb="2">
      <t>ジョウゲン</t>
    </rPh>
    <rPh sb="2" eb="3">
      <t>テン</t>
    </rPh>
    <phoneticPr fontId="3"/>
  </si>
  <si>
    <t>～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</si>
</sst>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&quot;¥&quot;#,##0_);[Red]\(&quot;¥&quot;#,##0\)"/>
  </numFmts>
  <fonts count="9" x14ac:knownFonts="1">
    <font>
      <sz val="11"/>
      <color theme="1"/>
      <name val="ＭＳ Ｐゴシック"/>
      <family val="2"/>
      <scheme val="minor"/>
    </font>
    <font>
      <b/>
      <sz val="11"/>
      <name val="UD Digi Kyokasho NP-R"/>
      <family val="1"/>
      <charset val="128"/>
    </font>
    <font>
      <sz val="11"/>
      <color theme="1"/>
      <name val="UD Digi Kyokasho NP-R"/>
      <family val="1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UD Digi Kyokasho NP-R"/>
      <family val="1"/>
      <charset val="128"/>
    </font>
    <font>
      <b/>
      <sz val="11"/>
      <name val="UD Digi Kyokasho N-R"/>
      <family val="1"/>
      <charset val="128"/>
    </font>
    <font>
      <sz val="11"/>
      <color theme="1"/>
      <name val="UD Digi Kyokasho N-R"/>
      <family val="1"/>
      <charset val="128"/>
    </font>
    <font>
      <b/>
      <sz val="11"/>
      <color rgb="FF1B1C1D"/>
      <name val="UD Digi Kyokasho NP-R"/>
      <family val="1"/>
      <charset val="128"/>
    </font>
    <font>
      <sz val="11"/>
      <color rgb="FF1B1C1D"/>
      <name val="UD Digi Kyokasho NP-R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0" fontId="8" fillId="0" borderId="0" xfId="0" applyFont="1" applyAlignment="1">
      <alignment vertical="center" wrapText="1" readingOrder="1"/>
    </xf>
    <xf numFmtId="0" fontId="8" fillId="0" borderId="0" xfId="0" applyFont="1" applyAlignment="1">
      <alignment horizontal="center" vertical="center" wrapText="1" readingOrder="1"/>
    </xf>
    <xf numFmtId="1" fontId="2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center" vertical="center" wrapText="1" readingOrder="1"/>
    </xf>
    <xf numFmtId="0" fontId="7" fillId="3" borderId="3" xfId="0" applyFont="1" applyFill="1" applyBorder="1" applyAlignment="1">
      <alignment horizontal="center" vertical="center" wrapText="1" readingOrder="1"/>
    </xf>
    <xf numFmtId="0" fontId="7" fillId="3" borderId="4" xfId="0" applyFont="1" applyFill="1" applyBorder="1" applyAlignment="1">
      <alignment horizontal="center" vertical="center" wrapText="1" readingOrder="1"/>
    </xf>
    <xf numFmtId="0" fontId="7" fillId="3" borderId="5" xfId="0" applyFont="1" applyFill="1" applyBorder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" fontId="2" fillId="5" borderId="0" xfId="0" applyNumberFormat="1" applyFont="1" applyFill="1" applyAlignment="1">
      <alignment horizontal="center" vertical="center"/>
    </xf>
    <xf numFmtId="177" fontId="6" fillId="5" borderId="0" xfId="0" applyNumberFormat="1" applyFont="1" applyFill="1" applyAlignment="1">
      <alignment horizontal="center" vertical="center"/>
    </xf>
    <xf numFmtId="3" fontId="6" fillId="5" borderId="0" xfId="0" applyNumberFormat="1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23"/>
  <sheetViews>
    <sheetView workbookViewId="0">
      <selection activeCell="H12" sqref="H12"/>
    </sheetView>
  </sheetViews>
  <sheetFormatPr defaultRowHeight="13.5" x14ac:dyDescent="0.15"/>
  <cols>
    <col min="3" max="3" width="12" customWidth="1"/>
    <col min="4" max="4" width="35.75" bestFit="1" customWidth="1"/>
    <col min="5" max="5" width="12" bestFit="1" customWidth="1"/>
    <col min="6" max="6" width="11.875" bestFit="1" customWidth="1"/>
  </cols>
  <sheetData>
    <row r="2" spans="3:6" ht="21.95" customHeight="1" thickBot="1" x14ac:dyDescent="0.2">
      <c r="C2" s="21" t="s">
        <v>0</v>
      </c>
      <c r="D2" s="23" t="s">
        <v>1</v>
      </c>
      <c r="E2" s="24" t="s">
        <v>17</v>
      </c>
      <c r="F2" s="22" t="s">
        <v>18</v>
      </c>
    </row>
    <row r="3" spans="3:6" ht="21.95" customHeight="1" thickTop="1" x14ac:dyDescent="0.15">
      <c r="C3" s="2" t="s">
        <v>19</v>
      </c>
      <c r="D3" s="25" t="s">
        <v>20</v>
      </c>
      <c r="E3" s="26" t="s">
        <v>21</v>
      </c>
      <c r="F3" s="4">
        <v>1200</v>
      </c>
    </row>
    <row r="4" spans="3:6" ht="21.95" customHeight="1" x14ac:dyDescent="0.15">
      <c r="C4" s="2" t="s">
        <v>22</v>
      </c>
      <c r="D4" s="25" t="s">
        <v>23</v>
      </c>
      <c r="E4" s="26" t="s">
        <v>24</v>
      </c>
      <c r="F4" s="4">
        <v>18500</v>
      </c>
    </row>
    <row r="5" spans="3:6" ht="21.95" customHeight="1" x14ac:dyDescent="0.15">
      <c r="C5" s="2" t="s">
        <v>25</v>
      </c>
      <c r="D5" s="25" t="s">
        <v>26</v>
      </c>
      <c r="E5" s="26" t="s">
        <v>27</v>
      </c>
      <c r="F5" s="4">
        <v>1500</v>
      </c>
    </row>
    <row r="6" spans="3:6" ht="21.95" customHeight="1" x14ac:dyDescent="0.15">
      <c r="C6" s="2" t="s">
        <v>28</v>
      </c>
      <c r="D6" s="25" t="s">
        <v>29</v>
      </c>
      <c r="E6" s="26" t="s">
        <v>21</v>
      </c>
      <c r="F6" s="5">
        <v>680</v>
      </c>
    </row>
    <row r="7" spans="3:6" ht="21.95" customHeight="1" x14ac:dyDescent="0.15">
      <c r="C7" s="2" t="s">
        <v>30</v>
      </c>
      <c r="D7" s="25" t="s">
        <v>31</v>
      </c>
      <c r="E7" s="26" t="s">
        <v>32</v>
      </c>
      <c r="F7" s="5">
        <v>550</v>
      </c>
    </row>
    <row r="8" spans="3:6" ht="21.95" customHeight="1" x14ac:dyDescent="0.15">
      <c r="C8" s="2" t="s">
        <v>33</v>
      </c>
      <c r="D8" s="25" t="s">
        <v>34</v>
      </c>
      <c r="E8" s="26" t="s">
        <v>24</v>
      </c>
      <c r="F8" s="4">
        <v>78000</v>
      </c>
    </row>
    <row r="9" spans="3:6" ht="21.95" customHeight="1" x14ac:dyDescent="0.15">
      <c r="C9" s="2" t="s">
        <v>35</v>
      </c>
      <c r="D9" s="25" t="s">
        <v>36</v>
      </c>
      <c r="E9" s="26" t="s">
        <v>32</v>
      </c>
      <c r="F9" s="5">
        <v>450</v>
      </c>
    </row>
    <row r="10" spans="3:6" ht="21.95" customHeight="1" x14ac:dyDescent="0.15">
      <c r="C10" s="2" t="s">
        <v>37</v>
      </c>
      <c r="D10" s="25" t="s">
        <v>38</v>
      </c>
      <c r="E10" s="26" t="s">
        <v>39</v>
      </c>
      <c r="F10" s="4">
        <v>2300</v>
      </c>
    </row>
    <row r="11" spans="3:6" ht="21.95" customHeight="1" x14ac:dyDescent="0.15">
      <c r="C11" s="2" t="s">
        <v>40</v>
      </c>
      <c r="D11" s="25" t="s">
        <v>41</v>
      </c>
      <c r="E11" s="26" t="s">
        <v>42</v>
      </c>
      <c r="F11" s="4">
        <v>3200</v>
      </c>
    </row>
    <row r="12" spans="3:6" ht="21.95" customHeight="1" x14ac:dyDescent="0.15">
      <c r="C12" s="2" t="s">
        <v>43</v>
      </c>
      <c r="D12" s="25" t="s">
        <v>44</v>
      </c>
      <c r="E12" s="26" t="s">
        <v>45</v>
      </c>
      <c r="F12" s="4">
        <v>2800</v>
      </c>
    </row>
    <row r="13" spans="3:6" ht="21.95" customHeight="1" x14ac:dyDescent="0.15">
      <c r="C13" s="2" t="s">
        <v>46</v>
      </c>
      <c r="D13" s="27" t="s">
        <v>47</v>
      </c>
      <c r="E13" s="28" t="s">
        <v>24</v>
      </c>
      <c r="F13" s="4">
        <v>24000</v>
      </c>
    </row>
    <row r="14" spans="3:6" ht="21.95" customHeight="1" x14ac:dyDescent="0.15">
      <c r="C14" s="2" t="s">
        <v>48</v>
      </c>
      <c r="D14" s="27" t="s">
        <v>49</v>
      </c>
      <c r="E14" s="28" t="s">
        <v>27</v>
      </c>
      <c r="F14" s="5">
        <v>980</v>
      </c>
    </row>
    <row r="15" spans="3:6" ht="21.95" customHeight="1" x14ac:dyDescent="0.15">
      <c r="C15" s="2" t="s">
        <v>50</v>
      </c>
      <c r="D15" s="27" t="s">
        <v>51</v>
      </c>
      <c r="E15" s="28" t="s">
        <v>42</v>
      </c>
      <c r="F15" s="4">
        <v>2100</v>
      </c>
    </row>
    <row r="16" spans="3:6" ht="21.95" customHeight="1" x14ac:dyDescent="0.15">
      <c r="C16" s="2" t="s">
        <v>52</v>
      </c>
      <c r="D16" s="27" t="s">
        <v>53</v>
      </c>
      <c r="E16" s="28" t="s">
        <v>39</v>
      </c>
      <c r="F16" s="4">
        <v>1900</v>
      </c>
    </row>
    <row r="17" spans="3:6" ht="21.95" customHeight="1" x14ac:dyDescent="0.15">
      <c r="C17" s="2" t="s">
        <v>54</v>
      </c>
      <c r="D17" s="27" t="s">
        <v>55</v>
      </c>
      <c r="E17" s="28" t="s">
        <v>21</v>
      </c>
      <c r="F17" s="4">
        <v>1800</v>
      </c>
    </row>
    <row r="18" spans="3:6" ht="21.95" customHeight="1" x14ac:dyDescent="0.15">
      <c r="C18" s="2" t="s">
        <v>56</v>
      </c>
      <c r="D18" s="27" t="s">
        <v>57</v>
      </c>
      <c r="E18" s="28" t="s">
        <v>58</v>
      </c>
      <c r="F18" s="4">
        <v>8900</v>
      </c>
    </row>
    <row r="19" spans="3:6" ht="21.95" customHeight="1" x14ac:dyDescent="0.15">
      <c r="C19" s="2" t="s">
        <v>59</v>
      </c>
      <c r="D19" s="27" t="s">
        <v>60</v>
      </c>
      <c r="E19" s="28" t="s">
        <v>42</v>
      </c>
      <c r="F19" s="4">
        <v>115000</v>
      </c>
    </row>
    <row r="20" spans="3:6" ht="21.95" customHeight="1" x14ac:dyDescent="0.15">
      <c r="C20" s="2" t="s">
        <v>61</v>
      </c>
      <c r="D20" s="27" t="s">
        <v>62</v>
      </c>
      <c r="E20" s="28" t="s">
        <v>45</v>
      </c>
      <c r="F20" s="5">
        <v>400</v>
      </c>
    </row>
    <row r="21" spans="3:6" ht="21.95" customHeight="1" x14ac:dyDescent="0.15">
      <c r="C21" s="2" t="s">
        <v>63</v>
      </c>
      <c r="D21" s="27" t="s">
        <v>64</v>
      </c>
      <c r="E21" s="28" t="s">
        <v>32</v>
      </c>
      <c r="F21" s="4">
        <v>1000</v>
      </c>
    </row>
    <row r="22" spans="3:6" ht="21.95" customHeight="1" x14ac:dyDescent="0.15">
      <c r="C22" s="2" t="s">
        <v>65</v>
      </c>
      <c r="D22" s="27" t="s">
        <v>66</v>
      </c>
      <c r="E22" s="28" t="s">
        <v>45</v>
      </c>
      <c r="F22" s="4">
        <v>1300</v>
      </c>
    </row>
    <row r="23" spans="3:6" ht="15" x14ac:dyDescent="0.25">
      <c r="C23" s="3"/>
      <c r="D23" s="3"/>
      <c r="E23" s="3"/>
      <c r="F23" s="3"/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3:L8"/>
  <sheetViews>
    <sheetView topLeftCell="B1" zoomScale="200" zoomScaleNormal="200" workbookViewId="0">
      <selection activeCell="K23" sqref="K23"/>
    </sheetView>
  </sheetViews>
  <sheetFormatPr defaultRowHeight="13.5" x14ac:dyDescent="0.15"/>
  <cols>
    <col min="4" max="4" width="12" customWidth="1"/>
    <col min="5" max="5" width="10" customWidth="1"/>
    <col min="6" max="6" width="12" customWidth="1"/>
    <col min="7" max="7" width="30" bestFit="1" customWidth="1"/>
    <col min="8" max="8" width="12" customWidth="1"/>
    <col min="9" max="9" width="8" customWidth="1"/>
    <col min="10" max="11" width="12" customWidth="1"/>
    <col min="12" max="12" width="18" customWidth="1"/>
  </cols>
  <sheetData>
    <row r="3" spans="4:12" ht="21.95" customHeight="1" x14ac:dyDescent="0.15">
      <c r="D3" s="6" t="s">
        <v>2</v>
      </c>
      <c r="E3" s="6" t="s">
        <v>3</v>
      </c>
      <c r="F3" s="6" t="s">
        <v>0</v>
      </c>
      <c r="G3" s="6" t="s">
        <v>67</v>
      </c>
      <c r="H3" s="6" t="s">
        <v>68</v>
      </c>
      <c r="I3" s="6" t="s">
        <v>4</v>
      </c>
      <c r="J3" s="6" t="s">
        <v>5</v>
      </c>
      <c r="K3" s="6" t="s">
        <v>6</v>
      </c>
      <c r="L3" s="6" t="s">
        <v>7</v>
      </c>
    </row>
    <row r="4" spans="4:12" ht="21.95" customHeight="1" x14ac:dyDescent="0.15">
      <c r="D4" s="7">
        <v>45931</v>
      </c>
      <c r="E4" s="9">
        <v>1001</v>
      </c>
      <c r="F4" s="8" t="s">
        <v>69</v>
      </c>
      <c r="G4" s="10" t="str">
        <f>IFERROR(VLOOKUP(F4,商品マスタ!$C$3:$F$22,2,FALSE),"")</f>
        <v>抗菌マスク (30枚入)</v>
      </c>
      <c r="H4" s="10" t="str">
        <f>IFERROR(VLOOKUP(F4,商品マスタ!$C$3:$F$22,3,FALSE),"")</f>
        <v>日用品</v>
      </c>
      <c r="I4" s="9">
        <v>7</v>
      </c>
      <c r="J4" s="11">
        <f>IFERROR(VLOOKUP(F4, 商品マスタ!$C$3:$F$22, 4, FALSE), "")</f>
        <v>980</v>
      </c>
      <c r="K4" s="30">
        <f>IFERROR(J4*I4,"")</f>
        <v>6860</v>
      </c>
      <c r="L4" s="8"/>
    </row>
    <row r="5" spans="4:12" ht="21.95" customHeight="1" x14ac:dyDescent="0.15">
      <c r="D5" s="7">
        <v>45932</v>
      </c>
      <c r="E5" s="9">
        <v>1002</v>
      </c>
      <c r="F5" s="8" t="s">
        <v>70</v>
      </c>
      <c r="G5" s="10" t="str">
        <f>IFERROR(VLOOKUP(F5,商品マスタ!$C$3:$F$22,2,FALSE),"")</f>
        <v>国産はちみつ (500g)</v>
      </c>
      <c r="H5" s="10" t="str">
        <f>IFERROR(VLOOKUP(F5,商品マスタ!$C$3:$F$22,3,FALSE),"")</f>
        <v>食品</v>
      </c>
      <c r="I5" s="9">
        <v>2</v>
      </c>
      <c r="J5" s="11">
        <f>IFERROR(VLOOKUP(F5, 商品マスタ!$C$3:$F$22, 4, FALSE), "")</f>
        <v>2800</v>
      </c>
      <c r="K5" s="30">
        <f t="shared" ref="K5:K8" si="0">IFERROR(J5*I5,"")</f>
        <v>5600</v>
      </c>
      <c r="L5" s="8"/>
    </row>
    <row r="6" spans="4:12" ht="21.95" customHeight="1" x14ac:dyDescent="0.15">
      <c r="D6" s="7">
        <v>45933</v>
      </c>
      <c r="E6" s="9">
        <v>1003</v>
      </c>
      <c r="F6" s="8" t="s">
        <v>71</v>
      </c>
      <c r="G6" s="10" t="str">
        <f>IFERROR(VLOOKUP(F6,商品マスタ!$C$3:$F$22,2,FALSE),"")</f>
        <v>速乾スポーツタオル</v>
      </c>
      <c r="H6" s="10" t="str">
        <f>IFERROR(VLOOKUP(F6,商品マスタ!$C$3:$F$22,3,FALSE),"")</f>
        <v>日用品</v>
      </c>
      <c r="I6" s="9">
        <v>5</v>
      </c>
      <c r="J6" s="11">
        <f>IFERROR(VLOOKUP(F6, 商品マスタ!$C$3:$F$22, 4, FALSE), "")</f>
        <v>1500</v>
      </c>
      <c r="K6" s="30">
        <f t="shared" si="0"/>
        <v>7500</v>
      </c>
      <c r="L6" s="8"/>
    </row>
    <row r="7" spans="4:12" ht="21.95" customHeight="1" x14ac:dyDescent="0.15">
      <c r="D7" s="7">
        <v>45934</v>
      </c>
      <c r="E7" s="9">
        <v>1004</v>
      </c>
      <c r="F7" s="8" t="s">
        <v>72</v>
      </c>
      <c r="G7" s="10" t="str">
        <f>IFERROR(VLOOKUP(F7,商品マスタ!$C$3:$F$22,2,FALSE),"")</f>
        <v>多機能ペン (黒赤青+シャープ)</v>
      </c>
      <c r="H7" s="10" t="str">
        <f>IFERROR(VLOOKUP(F7,商品マスタ!$C$3:$F$22,3,FALSE),"")</f>
        <v>文房具</v>
      </c>
      <c r="I7" s="9">
        <v>8</v>
      </c>
      <c r="J7" s="11">
        <f>IFERROR(VLOOKUP(F7, 商品マスタ!$C$3:$F$22, 4, FALSE), "")</f>
        <v>1000</v>
      </c>
      <c r="K7" s="30">
        <f t="shared" si="0"/>
        <v>8000</v>
      </c>
      <c r="L7" s="8"/>
    </row>
    <row r="8" spans="4:12" ht="21.95" customHeight="1" x14ac:dyDescent="0.15">
      <c r="D8" s="7">
        <v>45935</v>
      </c>
      <c r="E8" s="9">
        <v>1005</v>
      </c>
      <c r="F8" s="8" t="s">
        <v>73</v>
      </c>
      <c r="G8" s="10" t="str">
        <f>IFERROR(VLOOKUP(F8,商品マスタ!$C$3:$F$22,2,FALSE),"")</f>
        <v/>
      </c>
      <c r="H8" s="10" t="str">
        <f>IFERROR(VLOOKUP(F8,商品マスタ!$C$3:$F$22,3,FALSE),"")</f>
        <v/>
      </c>
      <c r="I8" s="9">
        <v>4</v>
      </c>
      <c r="J8" s="11" t="str">
        <f>IFERROR(VLOOKUP(F8, 商品マスタ!$C$3:$F$22, 4, FALSE), "")</f>
        <v/>
      </c>
      <c r="K8" s="31" t="str">
        <f t="shared" si="0"/>
        <v/>
      </c>
      <c r="L8" s="8" t="s">
        <v>8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5:I10"/>
  <sheetViews>
    <sheetView workbookViewId="0">
      <selection activeCell="F8" sqref="F8"/>
    </sheetView>
  </sheetViews>
  <sheetFormatPr defaultRowHeight="13.5" x14ac:dyDescent="0.15"/>
  <cols>
    <col min="1" max="1" width="10" customWidth="1"/>
    <col min="2" max="2" width="8" customWidth="1"/>
  </cols>
  <sheetData>
    <row r="5" spans="6:9" ht="21.95" customHeight="1" x14ac:dyDescent="0.15">
      <c r="F5" s="1" t="s">
        <v>9</v>
      </c>
      <c r="G5" s="1"/>
      <c r="H5" s="1" t="s">
        <v>140</v>
      </c>
      <c r="I5" s="1" t="s">
        <v>10</v>
      </c>
    </row>
    <row r="6" spans="6:9" ht="21.95" customHeight="1" x14ac:dyDescent="0.15">
      <c r="F6" s="14">
        <v>0</v>
      </c>
      <c r="G6" s="14" t="s">
        <v>141</v>
      </c>
      <c r="H6" s="14">
        <v>59</v>
      </c>
      <c r="I6" s="2" t="s">
        <v>11</v>
      </c>
    </row>
    <row r="7" spans="6:9" ht="21.95" customHeight="1" x14ac:dyDescent="0.15">
      <c r="F7" s="14">
        <v>60</v>
      </c>
      <c r="G7" s="14" t="s">
        <v>141</v>
      </c>
      <c r="H7" s="14">
        <v>69</v>
      </c>
      <c r="I7" s="2" t="s">
        <v>12</v>
      </c>
    </row>
    <row r="8" spans="6:9" ht="21.95" customHeight="1" x14ac:dyDescent="0.15">
      <c r="F8" s="14">
        <v>70</v>
      </c>
      <c r="G8" s="14" t="s">
        <v>141</v>
      </c>
      <c r="H8" s="14">
        <v>79</v>
      </c>
      <c r="I8" s="2" t="s">
        <v>13</v>
      </c>
    </row>
    <row r="9" spans="6:9" ht="21.95" customHeight="1" x14ac:dyDescent="0.15">
      <c r="F9" s="14">
        <v>80</v>
      </c>
      <c r="G9" s="14" t="s">
        <v>141</v>
      </c>
      <c r="H9" s="14">
        <v>89</v>
      </c>
      <c r="I9" s="2" t="s">
        <v>14</v>
      </c>
    </row>
    <row r="10" spans="6:9" ht="21.95" customHeight="1" x14ac:dyDescent="0.15">
      <c r="F10" s="14">
        <v>90</v>
      </c>
      <c r="G10" s="14" t="s">
        <v>141</v>
      </c>
      <c r="H10" s="14">
        <v>100</v>
      </c>
      <c r="I10" s="2" t="s">
        <v>15</v>
      </c>
    </row>
  </sheetData>
  <phoneticPr fontId="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H34"/>
  <sheetViews>
    <sheetView tabSelected="1" topLeftCell="A4" zoomScale="200" zoomScaleNormal="200" workbookViewId="0">
      <selection activeCell="I4" sqref="I4"/>
    </sheetView>
  </sheetViews>
  <sheetFormatPr defaultRowHeight="13.5" x14ac:dyDescent="0.15"/>
  <cols>
    <col min="1" max="1" width="14" customWidth="1"/>
    <col min="2" max="2" width="9.75" bestFit="1" customWidth="1"/>
    <col min="3" max="3" width="11.75" bestFit="1" customWidth="1"/>
    <col min="4" max="8" width="6.625" customWidth="1"/>
  </cols>
  <sheetData>
    <row r="4" spans="2:8" ht="21.95" customHeight="1" thickBot="1" x14ac:dyDescent="0.2">
      <c r="B4" s="17" t="s">
        <v>74</v>
      </c>
      <c r="C4" s="17" t="s">
        <v>16</v>
      </c>
      <c r="D4" s="18" t="s">
        <v>75</v>
      </c>
      <c r="E4" s="17" t="s">
        <v>76</v>
      </c>
      <c r="F4" s="19" t="s">
        <v>77</v>
      </c>
      <c r="G4" s="17" t="s">
        <v>98</v>
      </c>
      <c r="H4" s="17" t="s">
        <v>99</v>
      </c>
    </row>
    <row r="5" spans="2:8" ht="21.95" customHeight="1" thickTop="1" x14ac:dyDescent="0.15">
      <c r="B5" s="12" t="s">
        <v>100</v>
      </c>
      <c r="C5" s="12" t="s">
        <v>101</v>
      </c>
      <c r="D5" s="15">
        <v>78</v>
      </c>
      <c r="E5" s="13">
        <v>82</v>
      </c>
      <c r="F5" s="16">
        <v>71</v>
      </c>
      <c r="G5" s="29">
        <f>AVERAGE(D5:F5)</f>
        <v>77</v>
      </c>
      <c r="H5" s="20" t="str">
        <f>VLOOKUP(G5,評価表!$F$6:$I$10,4,TRUE)</f>
        <v>B</v>
      </c>
    </row>
    <row r="6" spans="2:8" ht="21.95" customHeight="1" x14ac:dyDescent="0.15">
      <c r="B6" s="12" t="s">
        <v>102</v>
      </c>
      <c r="C6" s="12" t="s">
        <v>103</v>
      </c>
      <c r="D6" s="15">
        <v>85</v>
      </c>
      <c r="E6" s="13">
        <v>70</v>
      </c>
      <c r="F6" s="16">
        <v>80</v>
      </c>
      <c r="G6" s="29">
        <f t="shared" ref="G6:G34" si="0">AVERAGE(D6:F6)</f>
        <v>78.333333333333329</v>
      </c>
      <c r="H6" s="20" t="str">
        <f>VLOOKUP(G6,評価表!$F$6:$I$10,4,TRUE)</f>
        <v>B</v>
      </c>
    </row>
    <row r="7" spans="2:8" ht="21.95" customHeight="1" x14ac:dyDescent="0.15">
      <c r="B7" s="12" t="s">
        <v>104</v>
      </c>
      <c r="C7" s="12" t="s">
        <v>105</v>
      </c>
      <c r="D7" s="15">
        <v>69</v>
      </c>
      <c r="E7" s="13">
        <v>90</v>
      </c>
      <c r="F7" s="16">
        <v>85</v>
      </c>
      <c r="G7" s="29">
        <f t="shared" si="0"/>
        <v>81.333333333333329</v>
      </c>
      <c r="H7" s="20" t="str">
        <f>VLOOKUP(G7,評価表!$F$6:$I$10,4,TRUE)</f>
        <v>A</v>
      </c>
    </row>
    <row r="8" spans="2:8" ht="21.95" customHeight="1" x14ac:dyDescent="0.15">
      <c r="B8" s="12" t="s">
        <v>106</v>
      </c>
      <c r="C8" s="12" t="s">
        <v>107</v>
      </c>
      <c r="D8" s="15">
        <v>91</v>
      </c>
      <c r="E8" s="13">
        <v>79</v>
      </c>
      <c r="F8" s="16">
        <v>88</v>
      </c>
      <c r="G8" s="29">
        <f t="shared" si="0"/>
        <v>86</v>
      </c>
      <c r="H8" s="20" t="str">
        <f>VLOOKUP(G8,評価表!$F$6:$I$10,4,TRUE)</f>
        <v>A</v>
      </c>
    </row>
    <row r="9" spans="2:8" ht="21.95" customHeight="1" x14ac:dyDescent="0.15">
      <c r="B9" s="12" t="s">
        <v>108</v>
      </c>
      <c r="C9" s="12" t="s">
        <v>109</v>
      </c>
      <c r="D9" s="15">
        <v>58</v>
      </c>
      <c r="E9" s="13">
        <v>64</v>
      </c>
      <c r="F9" s="16">
        <v>60</v>
      </c>
      <c r="G9" s="29">
        <f t="shared" si="0"/>
        <v>60.666666666666664</v>
      </c>
      <c r="H9" s="20" t="str">
        <f>VLOOKUP(G9,評価表!$F$6:$I$10,4,TRUE)</f>
        <v>C</v>
      </c>
    </row>
    <row r="10" spans="2:8" ht="21.95" customHeight="1" x14ac:dyDescent="0.15">
      <c r="B10" s="12" t="s">
        <v>110</v>
      </c>
      <c r="C10" s="12" t="s">
        <v>111</v>
      </c>
      <c r="D10" s="15">
        <v>89</v>
      </c>
      <c r="E10" s="13">
        <v>96</v>
      </c>
      <c r="F10" s="16">
        <v>92</v>
      </c>
      <c r="G10" s="29">
        <f t="shared" si="0"/>
        <v>92.333333333333329</v>
      </c>
      <c r="H10" s="20" t="str">
        <f>VLOOKUP(G10,評価表!$F$6:$I$10,4,TRUE)</f>
        <v>S</v>
      </c>
    </row>
    <row r="11" spans="2:8" ht="21.95" customHeight="1" x14ac:dyDescent="0.15">
      <c r="B11" s="12" t="s">
        <v>112</v>
      </c>
      <c r="C11" s="12" t="s">
        <v>113</v>
      </c>
      <c r="D11" s="15">
        <v>74</v>
      </c>
      <c r="E11" s="13">
        <v>83</v>
      </c>
      <c r="F11" s="16">
        <v>76</v>
      </c>
      <c r="G11" s="29">
        <f t="shared" si="0"/>
        <v>77.666666666666671</v>
      </c>
      <c r="H11" s="20" t="str">
        <f>VLOOKUP(G11,評価表!$F$6:$I$10,4,TRUE)</f>
        <v>B</v>
      </c>
    </row>
    <row r="12" spans="2:8" ht="21.95" customHeight="1" x14ac:dyDescent="0.15">
      <c r="B12" s="12" t="s">
        <v>114</v>
      </c>
      <c r="C12" s="12" t="s">
        <v>115</v>
      </c>
      <c r="D12" s="15">
        <v>66</v>
      </c>
      <c r="E12" s="13">
        <v>75</v>
      </c>
      <c r="F12" s="16">
        <v>70</v>
      </c>
      <c r="G12" s="29">
        <f t="shared" si="0"/>
        <v>70.333333333333329</v>
      </c>
      <c r="H12" s="20" t="str">
        <f>VLOOKUP(G12,評価表!$F$6:$I$10,4,TRUE)</f>
        <v>B</v>
      </c>
    </row>
    <row r="13" spans="2:8" ht="21.95" customHeight="1" x14ac:dyDescent="0.15">
      <c r="B13" s="12" t="s">
        <v>116</v>
      </c>
      <c r="C13" s="12" t="s">
        <v>117</v>
      </c>
      <c r="D13" s="15">
        <v>93</v>
      </c>
      <c r="E13" s="13">
        <v>88</v>
      </c>
      <c r="F13" s="16">
        <v>90</v>
      </c>
      <c r="G13" s="29">
        <f t="shared" si="0"/>
        <v>90.333333333333329</v>
      </c>
      <c r="H13" s="20" t="str">
        <f>VLOOKUP(G13,評価表!$F$6:$I$10,4,TRUE)</f>
        <v>S</v>
      </c>
    </row>
    <row r="14" spans="2:8" ht="21.95" customHeight="1" x14ac:dyDescent="0.15">
      <c r="B14" s="12" t="s">
        <v>118</v>
      </c>
      <c r="C14" s="12" t="s">
        <v>119</v>
      </c>
      <c r="D14" s="15">
        <v>81</v>
      </c>
      <c r="E14" s="13">
        <v>69</v>
      </c>
      <c r="F14" s="16">
        <v>78</v>
      </c>
      <c r="G14" s="29">
        <f t="shared" si="0"/>
        <v>76</v>
      </c>
      <c r="H14" s="20" t="str">
        <f>VLOOKUP(G14,評価表!$F$6:$I$10,4,TRUE)</f>
        <v>B</v>
      </c>
    </row>
    <row r="15" spans="2:8" ht="21.95" customHeight="1" x14ac:dyDescent="0.15">
      <c r="B15" s="12" t="s">
        <v>120</v>
      </c>
      <c r="C15" s="12" t="s">
        <v>78</v>
      </c>
      <c r="D15" s="15">
        <v>72</v>
      </c>
      <c r="E15" s="13">
        <v>77</v>
      </c>
      <c r="F15" s="16">
        <v>65</v>
      </c>
      <c r="G15" s="29">
        <f t="shared" si="0"/>
        <v>71.333333333333329</v>
      </c>
      <c r="H15" s="20" t="str">
        <f>VLOOKUP(G15,評価表!$F$6:$I$10,4,TRUE)</f>
        <v>B</v>
      </c>
    </row>
    <row r="16" spans="2:8" ht="21.95" customHeight="1" x14ac:dyDescent="0.15">
      <c r="B16" s="12" t="s">
        <v>121</v>
      </c>
      <c r="C16" s="12" t="s">
        <v>79</v>
      </c>
      <c r="D16" s="15">
        <v>86</v>
      </c>
      <c r="E16" s="13">
        <v>91</v>
      </c>
      <c r="F16" s="16">
        <v>84</v>
      </c>
      <c r="G16" s="29">
        <f t="shared" si="0"/>
        <v>87</v>
      </c>
      <c r="H16" s="20" t="str">
        <f>VLOOKUP(G16,評価表!$F$6:$I$10,4,TRUE)</f>
        <v>A</v>
      </c>
    </row>
    <row r="17" spans="2:8" ht="21.95" customHeight="1" x14ac:dyDescent="0.15">
      <c r="B17" s="12" t="s">
        <v>122</v>
      </c>
      <c r="C17" s="12" t="s">
        <v>80</v>
      </c>
      <c r="D17" s="15">
        <v>61</v>
      </c>
      <c r="E17" s="13">
        <v>68</v>
      </c>
      <c r="F17" s="16">
        <v>73</v>
      </c>
      <c r="G17" s="29">
        <f t="shared" si="0"/>
        <v>67.333333333333329</v>
      </c>
      <c r="H17" s="20" t="str">
        <f>VLOOKUP(G17,評価表!$F$6:$I$10,4,TRUE)</f>
        <v>C</v>
      </c>
    </row>
    <row r="18" spans="2:8" ht="21.95" customHeight="1" x14ac:dyDescent="0.15">
      <c r="B18" s="12" t="s">
        <v>123</v>
      </c>
      <c r="C18" s="12" t="s">
        <v>81</v>
      </c>
      <c r="D18" s="15">
        <v>95</v>
      </c>
      <c r="E18" s="13">
        <v>85</v>
      </c>
      <c r="F18" s="16">
        <v>91</v>
      </c>
      <c r="G18" s="29">
        <f t="shared" si="0"/>
        <v>90.333333333333329</v>
      </c>
      <c r="H18" s="20" t="str">
        <f>VLOOKUP(G18,評価表!$F$6:$I$10,4,TRUE)</f>
        <v>S</v>
      </c>
    </row>
    <row r="19" spans="2:8" ht="21.95" customHeight="1" x14ac:dyDescent="0.15">
      <c r="B19" s="12" t="s">
        <v>124</v>
      </c>
      <c r="C19" s="12" t="s">
        <v>82</v>
      </c>
      <c r="D19" s="15">
        <v>79</v>
      </c>
      <c r="E19" s="13">
        <v>80</v>
      </c>
      <c r="F19" s="16">
        <v>82</v>
      </c>
      <c r="G19" s="29">
        <f t="shared" si="0"/>
        <v>80.333333333333329</v>
      </c>
      <c r="H19" s="20" t="str">
        <f>VLOOKUP(G19,評価表!$F$6:$I$10,4,TRUE)</f>
        <v>A</v>
      </c>
    </row>
    <row r="20" spans="2:8" ht="21.95" customHeight="1" x14ac:dyDescent="0.15">
      <c r="B20" s="12" t="s">
        <v>125</v>
      </c>
      <c r="C20" s="12" t="s">
        <v>83</v>
      </c>
      <c r="D20" s="15">
        <v>67</v>
      </c>
      <c r="E20" s="13">
        <v>73</v>
      </c>
      <c r="F20" s="16">
        <v>69</v>
      </c>
      <c r="G20" s="29">
        <f t="shared" si="0"/>
        <v>69.666666666666671</v>
      </c>
      <c r="H20" s="20" t="str">
        <f>VLOOKUP(G20,評価表!$F$6:$I$10,4,TRUE)</f>
        <v>C</v>
      </c>
    </row>
    <row r="21" spans="2:8" ht="21.95" customHeight="1" x14ac:dyDescent="0.15">
      <c r="B21" s="12" t="s">
        <v>126</v>
      </c>
      <c r="C21" s="12" t="s">
        <v>84</v>
      </c>
      <c r="D21" s="15">
        <v>88</v>
      </c>
      <c r="E21" s="13">
        <v>93</v>
      </c>
      <c r="F21" s="16">
        <v>87</v>
      </c>
      <c r="G21" s="29">
        <f t="shared" si="0"/>
        <v>89.333333333333329</v>
      </c>
      <c r="H21" s="20" t="str">
        <f>VLOOKUP(G21,評価表!$F$6:$I$10,4,TRUE)</f>
        <v>A</v>
      </c>
    </row>
    <row r="22" spans="2:8" ht="21.95" customHeight="1" x14ac:dyDescent="0.15">
      <c r="B22" s="12" t="s">
        <v>127</v>
      </c>
      <c r="C22" s="12" t="s">
        <v>85</v>
      </c>
      <c r="D22" s="15">
        <v>70</v>
      </c>
      <c r="E22" s="13">
        <v>62</v>
      </c>
      <c r="F22" s="16">
        <v>75</v>
      </c>
      <c r="G22" s="29">
        <f t="shared" si="0"/>
        <v>69</v>
      </c>
      <c r="H22" s="20" t="str">
        <f>VLOOKUP(G22,評価表!$F$6:$I$10,4,TRUE)</f>
        <v>C</v>
      </c>
    </row>
    <row r="23" spans="2:8" ht="21.95" customHeight="1" x14ac:dyDescent="0.15">
      <c r="B23" s="12" t="s">
        <v>128</v>
      </c>
      <c r="C23" s="12" t="s">
        <v>86</v>
      </c>
      <c r="D23" s="15">
        <v>83</v>
      </c>
      <c r="E23" s="13">
        <v>86</v>
      </c>
      <c r="F23" s="16">
        <v>81</v>
      </c>
      <c r="G23" s="29">
        <f t="shared" si="0"/>
        <v>83.333333333333329</v>
      </c>
      <c r="H23" s="20" t="str">
        <f>VLOOKUP(G23,評価表!$F$6:$I$10,4,TRUE)</f>
        <v>A</v>
      </c>
    </row>
    <row r="24" spans="2:8" ht="21.95" customHeight="1" x14ac:dyDescent="0.15">
      <c r="B24" s="12" t="s">
        <v>129</v>
      </c>
      <c r="C24" s="12" t="s">
        <v>87</v>
      </c>
      <c r="D24" s="15">
        <v>59</v>
      </c>
      <c r="E24" s="13">
        <v>71</v>
      </c>
      <c r="F24" s="16">
        <v>63</v>
      </c>
      <c r="G24" s="29">
        <f t="shared" si="0"/>
        <v>64.333333333333329</v>
      </c>
      <c r="H24" s="20" t="str">
        <f>VLOOKUP(G24,評価表!$F$6:$I$10,4,TRUE)</f>
        <v>C</v>
      </c>
    </row>
    <row r="25" spans="2:8" ht="21.95" customHeight="1" x14ac:dyDescent="0.15">
      <c r="B25" s="12" t="s">
        <v>130</v>
      </c>
      <c r="C25" s="12" t="s">
        <v>88</v>
      </c>
      <c r="D25" s="15">
        <v>92</v>
      </c>
      <c r="E25" s="13">
        <v>95</v>
      </c>
      <c r="F25" s="16">
        <v>89</v>
      </c>
      <c r="G25" s="29">
        <f t="shared" si="0"/>
        <v>92</v>
      </c>
      <c r="H25" s="20" t="str">
        <f>VLOOKUP(G25,評価表!$F$6:$I$10,4,TRUE)</f>
        <v>S</v>
      </c>
    </row>
    <row r="26" spans="2:8" ht="21.95" customHeight="1" x14ac:dyDescent="0.15">
      <c r="B26" s="12" t="s">
        <v>131</v>
      </c>
      <c r="C26" s="12" t="s">
        <v>89</v>
      </c>
      <c r="D26" s="15">
        <v>76</v>
      </c>
      <c r="E26" s="13">
        <v>84</v>
      </c>
      <c r="F26" s="16">
        <v>77</v>
      </c>
      <c r="G26" s="29">
        <f t="shared" si="0"/>
        <v>79</v>
      </c>
      <c r="H26" s="20" t="str">
        <f>VLOOKUP(G26,評価表!$F$6:$I$10,4,TRUE)</f>
        <v>B</v>
      </c>
    </row>
    <row r="27" spans="2:8" ht="21.95" customHeight="1" x14ac:dyDescent="0.15">
      <c r="B27" s="12" t="s">
        <v>132</v>
      </c>
      <c r="C27" s="12" t="s">
        <v>90</v>
      </c>
      <c r="D27" s="15">
        <v>80</v>
      </c>
      <c r="E27" s="13">
        <v>78</v>
      </c>
      <c r="F27" s="16">
        <v>83</v>
      </c>
      <c r="G27" s="29">
        <f t="shared" si="0"/>
        <v>80.333333333333329</v>
      </c>
      <c r="H27" s="20" t="str">
        <f>VLOOKUP(G27,評価表!$F$6:$I$10,4,TRUE)</f>
        <v>A</v>
      </c>
    </row>
    <row r="28" spans="2:8" ht="21.95" customHeight="1" x14ac:dyDescent="0.15">
      <c r="B28" s="12" t="s">
        <v>133</v>
      </c>
      <c r="C28" s="12" t="s">
        <v>91</v>
      </c>
      <c r="D28" s="15">
        <v>64</v>
      </c>
      <c r="E28" s="13">
        <v>67</v>
      </c>
      <c r="F28" s="16">
        <v>68</v>
      </c>
      <c r="G28" s="29">
        <f t="shared" si="0"/>
        <v>66.333333333333329</v>
      </c>
      <c r="H28" s="20" t="str">
        <f>VLOOKUP(G28,評価表!$F$6:$I$10,4,TRUE)</f>
        <v>C</v>
      </c>
    </row>
    <row r="29" spans="2:8" ht="21.95" customHeight="1" x14ac:dyDescent="0.15">
      <c r="B29" s="12" t="s">
        <v>134</v>
      </c>
      <c r="C29" s="12" t="s">
        <v>92</v>
      </c>
      <c r="D29" s="15">
        <v>87</v>
      </c>
      <c r="E29" s="13">
        <v>89</v>
      </c>
      <c r="F29" s="16">
        <v>93</v>
      </c>
      <c r="G29" s="29">
        <f t="shared" si="0"/>
        <v>89.666666666666671</v>
      </c>
      <c r="H29" s="20" t="str">
        <f>VLOOKUP(G29,評価表!$F$6:$I$10,4,TRUE)</f>
        <v>A</v>
      </c>
    </row>
    <row r="30" spans="2:8" ht="21.95" customHeight="1" x14ac:dyDescent="0.15">
      <c r="B30" s="12" t="s">
        <v>135</v>
      </c>
      <c r="C30" s="12" t="s">
        <v>93</v>
      </c>
      <c r="D30" s="15">
        <v>73</v>
      </c>
      <c r="E30" s="13">
        <v>76</v>
      </c>
      <c r="F30" s="16">
        <v>66</v>
      </c>
      <c r="G30" s="29">
        <f t="shared" si="0"/>
        <v>71.666666666666671</v>
      </c>
      <c r="H30" s="20" t="str">
        <f>VLOOKUP(G30,評価表!$F$6:$I$10,4,TRUE)</f>
        <v>B</v>
      </c>
    </row>
    <row r="31" spans="2:8" ht="21.95" customHeight="1" x14ac:dyDescent="0.15">
      <c r="B31" s="12" t="s">
        <v>136</v>
      </c>
      <c r="C31" s="12" t="s">
        <v>94</v>
      </c>
      <c r="D31" s="15">
        <v>90</v>
      </c>
      <c r="E31" s="13">
        <v>92</v>
      </c>
      <c r="F31" s="16">
        <v>86</v>
      </c>
      <c r="G31" s="29">
        <f t="shared" si="0"/>
        <v>89.333333333333329</v>
      </c>
      <c r="H31" s="20" t="str">
        <f>VLOOKUP(G31,評価表!$F$6:$I$10,4,TRUE)</f>
        <v>A</v>
      </c>
    </row>
    <row r="32" spans="2:8" ht="21.95" customHeight="1" x14ac:dyDescent="0.15">
      <c r="B32" s="12" t="s">
        <v>137</v>
      </c>
      <c r="C32" s="12" t="s">
        <v>95</v>
      </c>
      <c r="D32" s="15">
        <v>68</v>
      </c>
      <c r="E32" s="13">
        <v>74</v>
      </c>
      <c r="F32" s="16">
        <v>72</v>
      </c>
      <c r="G32" s="29">
        <f t="shared" si="0"/>
        <v>71.333333333333329</v>
      </c>
      <c r="H32" s="20" t="str">
        <f>VLOOKUP(G32,評価表!$F$6:$I$10,4,TRUE)</f>
        <v>B</v>
      </c>
    </row>
    <row r="33" spans="2:8" ht="21.95" customHeight="1" x14ac:dyDescent="0.15">
      <c r="B33" s="12" t="s">
        <v>138</v>
      </c>
      <c r="C33" s="12" t="s">
        <v>96</v>
      </c>
      <c r="D33" s="15">
        <v>84</v>
      </c>
      <c r="E33" s="13">
        <v>81</v>
      </c>
      <c r="F33" s="16">
        <v>79</v>
      </c>
      <c r="G33" s="29">
        <f t="shared" si="0"/>
        <v>81.333333333333329</v>
      </c>
      <c r="H33" s="20" t="str">
        <f>VLOOKUP(G33,評価表!$F$6:$I$10,4,TRUE)</f>
        <v>A</v>
      </c>
    </row>
    <row r="34" spans="2:8" ht="21.95" customHeight="1" x14ac:dyDescent="0.15">
      <c r="B34" s="12" t="s">
        <v>139</v>
      </c>
      <c r="C34" s="12" t="s">
        <v>97</v>
      </c>
      <c r="D34" s="15">
        <v>94</v>
      </c>
      <c r="E34" s="13">
        <v>87</v>
      </c>
      <c r="F34" s="16">
        <v>94</v>
      </c>
      <c r="G34" s="29">
        <f t="shared" si="0"/>
        <v>91.666666666666671</v>
      </c>
      <c r="H34" s="20" t="str">
        <f>VLOOKUP(G34,評価表!$F$6:$I$10,4,TRUE)</f>
        <v>S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商品マスタ</vt:lpstr>
      <vt:lpstr>売上</vt:lpstr>
      <vt:lpstr>評価表</vt:lpstr>
      <vt:lpstr>評価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清水哲也</cp:lastModifiedBy>
  <dcterms:created xsi:type="dcterms:W3CDTF">2025-11-02T02:20:54Z</dcterms:created>
  <dcterms:modified xsi:type="dcterms:W3CDTF">2025-11-02T13:39:25Z</dcterms:modified>
</cp:coreProperties>
</file>