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tsu\github\2025-SIT-MCfCL\MCfCL-08-Lecture\"/>
    </mc:Choice>
  </mc:AlternateContent>
  <xr:revisionPtr revIDLastSave="0" documentId="13_ncr:1_{1046153F-E5A6-402A-9046-20014DB5F9C8}" xr6:coauthVersionLast="47" xr6:coauthVersionMax="47" xr10:uidLastSave="{00000000-0000-0000-0000-000000000000}"/>
  <bookViews>
    <workbookView xWindow="28695" yWindow="0" windowWidth="29010" windowHeight="31785" xr2:uid="{00000000-000D-0000-FFFF-FFFF00000000}"/>
  </bookViews>
  <sheets>
    <sheet name="商品在庫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5" l="1"/>
  <c r="J15" i="5"/>
  <c r="K14" i="5"/>
  <c r="J14" i="5"/>
  <c r="K13" i="5"/>
  <c r="J1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3" i="5"/>
  <c r="J6" i="5"/>
  <c r="J5" i="5"/>
  <c r="J4" i="5"/>
  <c r="J9" i="5" s="1"/>
  <c r="J3" i="5"/>
</calcChain>
</file>

<file path=xl/sharedStrings.xml><?xml version="1.0" encoding="utf-8"?>
<sst xmlns="http://schemas.openxmlformats.org/spreadsheetml/2006/main" count="60" uniqueCount="57">
  <si>
    <t>消しゴム</t>
  </si>
  <si>
    <t>商品管理コード</t>
  </si>
  <si>
    <t>商品名</t>
  </si>
  <si>
    <t>単価</t>
  </si>
  <si>
    <t>在庫数</t>
  </si>
  <si>
    <t>505-BP-87906</t>
  </si>
  <si>
    <t>シャープペンシル 0.5mm</t>
  </si>
  <si>
    <t>429-KS-15406</t>
  </si>
  <si>
    <t>ボールペン 黒</t>
  </si>
  <si>
    <t>522-GJ-57089</t>
  </si>
  <si>
    <t>ボールペン 赤</t>
  </si>
  <si>
    <t>131-KP-31596</t>
  </si>
  <si>
    <t>896-AM-46561</t>
  </si>
  <si>
    <t>定規 15cm</t>
  </si>
  <si>
    <t>496-GU-19131</t>
  </si>
  <si>
    <t>定規 30cm</t>
  </si>
  <si>
    <t>148-JE-93930</t>
  </si>
  <si>
    <t>コンパス</t>
  </si>
  <si>
    <t>741-EQ-57658</t>
  </si>
  <si>
    <t>分度器</t>
  </si>
  <si>
    <t>828-RP-28109</t>
  </si>
  <si>
    <t>スティックのり</t>
  </si>
  <si>
    <t>975-GW-69958</t>
  </si>
  <si>
    <t>カッター</t>
  </si>
  <si>
    <t>640-LA-69808</t>
  </si>
  <si>
    <t>はさみ</t>
  </si>
  <si>
    <t>392-MO-63051</t>
  </si>
  <si>
    <t>セロハンテープ</t>
  </si>
  <si>
    <t>172-EW-61764</t>
  </si>
  <si>
    <t>ホッチキス</t>
  </si>
  <si>
    <t>264-BD-36508</t>
  </si>
  <si>
    <t>ホッチキス針</t>
  </si>
  <si>
    <t>668-EA-70491</t>
  </si>
  <si>
    <t>メモ帳</t>
  </si>
  <si>
    <t>101-ON-22390</t>
  </si>
  <si>
    <t>ノート A5</t>
  </si>
  <si>
    <t>573-UV-55684</t>
  </si>
  <si>
    <t>ノート B5</t>
  </si>
  <si>
    <t>881-QE-55900</t>
  </si>
  <si>
    <t>マーカーペン 黄</t>
  </si>
  <si>
    <t>965-UQ-43207</t>
  </si>
  <si>
    <t>マーカーペン ピンク</t>
  </si>
  <si>
    <t>176-HH-43451</t>
  </si>
  <si>
    <t>ファイル クリア</t>
  </si>
  <si>
    <t>在庫数合計</t>
    <rPh sb="0" eb="2">
      <t>ザイコ</t>
    </rPh>
    <rPh sb="2" eb="3">
      <t>スウ</t>
    </rPh>
    <phoneticPr fontId="1"/>
  </si>
  <si>
    <t>単価平均</t>
    <rPh sb="0" eb="2">
      <t>タンカ</t>
    </rPh>
    <phoneticPr fontId="1"/>
  </si>
  <si>
    <t>最大在庫数</t>
    <rPh sb="2" eb="5">
      <t>ザイコスウ</t>
    </rPh>
    <phoneticPr fontId="1"/>
  </si>
  <si>
    <t>最小在庫数</t>
    <rPh sb="2" eb="5">
      <t>ザイコスウ</t>
    </rPh>
    <phoneticPr fontId="1"/>
  </si>
  <si>
    <t>単価平均以上の在庫数</t>
    <rPh sb="0" eb="2">
      <t>タ</t>
    </rPh>
    <rPh sb="2" eb="4">
      <t>ヘイキン</t>
    </rPh>
    <rPh sb="4" eb="6">
      <t>イジョウ</t>
    </rPh>
    <rPh sb="7" eb="10">
      <t>ザイ</t>
    </rPh>
    <phoneticPr fontId="1"/>
  </si>
  <si>
    <t>商品名</t>
    <rPh sb="0" eb="3">
      <t>ショウヒンメイ</t>
    </rPh>
    <phoneticPr fontId="1"/>
  </si>
  <si>
    <t>アルファベット</t>
    <phoneticPr fontId="1"/>
  </si>
  <si>
    <t>下3桁</t>
    <rPh sb="0" eb="1">
      <t>シモ</t>
    </rPh>
    <rPh sb="2" eb="3">
      <t>ケタ</t>
    </rPh>
    <phoneticPr fontId="1"/>
  </si>
  <si>
    <t>課題1:金額</t>
    <rPh sb="0" eb="2">
      <t>カダイ</t>
    </rPh>
    <rPh sb="4" eb="6">
      <t>キンガク</t>
    </rPh>
    <phoneticPr fontId="1"/>
  </si>
  <si>
    <t>課題3：概算</t>
    <rPh sb="0" eb="2">
      <t>カダイ</t>
    </rPh>
    <rPh sb="4" eb="6">
      <t>ガイサン</t>
    </rPh>
    <phoneticPr fontId="1"/>
  </si>
  <si>
    <t>課題1:集計</t>
    <rPh sb="0" eb="2">
      <t>カダイ</t>
    </rPh>
    <phoneticPr fontId="1"/>
  </si>
  <si>
    <t>課題2:SUMIF</t>
    <rPh sb="0" eb="2">
      <t>カダイ</t>
    </rPh>
    <phoneticPr fontId="1"/>
  </si>
  <si>
    <t>課題4：文字列操作</t>
    <rPh sb="0" eb="2">
      <t>カダイ</t>
    </rPh>
    <rPh sb="4" eb="7">
      <t>モジレツ</t>
    </rPh>
    <rPh sb="7" eb="9">
      <t>ソウサ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</si>
</sst>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name val="UD Digi Kyokasho NP-R"/>
      <family val="1"/>
      <charset val="128"/>
    </font>
    <font>
      <sz val="11"/>
      <color theme="1"/>
      <name val="UD Digi Kyokasho NP-R"/>
      <family val="1"/>
      <charset val="128"/>
    </font>
    <font>
      <sz val="11"/>
      <name val="UD Digi Kyokasho NP-R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  <xf numFmtId="3" fontId="4" fillId="3" borderId="0" xfId="0" applyNumberFormat="1" applyFont="1" applyFill="1" applyAlignment="1">
      <alignment horizontal="center" vertical="center"/>
    </xf>
    <xf numFmtId="176" fontId="3" fillId="3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238F-6C42-4C2C-9A76-0661E5ECA6CF}">
  <dimension ref="B2:V24"/>
  <sheetViews>
    <sheetView tabSelected="1" zoomScale="148" zoomScaleNormal="148" workbookViewId="0">
      <selection activeCell="E27" sqref="E27"/>
    </sheetView>
  </sheetViews>
  <sheetFormatPr defaultRowHeight="13.5" x14ac:dyDescent="0.15"/>
  <cols>
    <col min="2" max="2" width="17.625" bestFit="1" customWidth="1"/>
    <col min="3" max="3" width="24.75" bestFit="1" customWidth="1"/>
    <col min="4" max="7" width="12" customWidth="1"/>
    <col min="9" max="9" width="21.625" bestFit="1" customWidth="1"/>
    <col min="10" max="10" width="15.375" bestFit="1" customWidth="1"/>
    <col min="11" max="11" width="11.25" customWidth="1"/>
    <col min="12" max="12" width="21.625" bestFit="1" customWidth="1"/>
    <col min="13" max="13" width="10.25" bestFit="1" customWidth="1"/>
  </cols>
  <sheetData>
    <row r="2" spans="2:22" ht="21.95" customHeight="1" x14ac:dyDescent="0.25">
      <c r="B2" s="6" t="s">
        <v>1</v>
      </c>
      <c r="C2" s="6" t="s">
        <v>2</v>
      </c>
      <c r="D2" s="6" t="s">
        <v>3</v>
      </c>
      <c r="E2" s="6" t="s">
        <v>4</v>
      </c>
      <c r="F2" s="6" t="s">
        <v>52</v>
      </c>
      <c r="G2" s="6" t="s">
        <v>53</v>
      </c>
      <c r="H2" s="1"/>
      <c r="I2" s="15" t="s">
        <v>54</v>
      </c>
      <c r="J2" s="15"/>
      <c r="K2" s="1"/>
      <c r="N2" s="1"/>
      <c r="O2" s="1"/>
      <c r="P2" s="1"/>
      <c r="Q2" s="1"/>
      <c r="R2" s="1"/>
      <c r="S2" s="1"/>
      <c r="T2" s="1"/>
      <c r="U2" s="1"/>
      <c r="V2" s="1"/>
    </row>
    <row r="3" spans="2:22" ht="21.95" customHeight="1" x14ac:dyDescent="0.25">
      <c r="B3" s="2" t="s">
        <v>5</v>
      </c>
      <c r="C3" s="3" t="s">
        <v>6</v>
      </c>
      <c r="D3" s="4">
        <v>120</v>
      </c>
      <c r="E3" s="4">
        <v>50</v>
      </c>
      <c r="F3" s="12">
        <f>D3*E3</f>
        <v>6000</v>
      </c>
      <c r="G3" s="10">
        <f>ROUNDUP(F3,-3)</f>
        <v>6000</v>
      </c>
      <c r="H3" s="1"/>
      <c r="I3" s="7" t="s">
        <v>44</v>
      </c>
      <c r="J3" s="9">
        <f>SUM(E3:E22)</f>
        <v>1405</v>
      </c>
      <c r="K3" s="1"/>
      <c r="N3" s="1"/>
      <c r="O3" s="1"/>
      <c r="P3" s="1"/>
      <c r="Q3" s="1"/>
      <c r="R3" s="1"/>
      <c r="S3" s="1"/>
      <c r="T3" s="1"/>
      <c r="U3" s="1"/>
      <c r="V3" s="1"/>
    </row>
    <row r="4" spans="2:22" ht="21.95" customHeight="1" x14ac:dyDescent="0.25">
      <c r="B4" s="2" t="s">
        <v>7</v>
      </c>
      <c r="C4" s="3" t="s">
        <v>8</v>
      </c>
      <c r="D4" s="4">
        <v>150</v>
      </c>
      <c r="E4" s="4">
        <v>69</v>
      </c>
      <c r="F4" s="12">
        <f t="shared" ref="F4:F22" si="0">D4*E4</f>
        <v>10350</v>
      </c>
      <c r="G4" s="10">
        <f t="shared" ref="G4:G22" si="1">ROUNDUP(F4,-3)</f>
        <v>11000</v>
      </c>
      <c r="H4" s="1"/>
      <c r="I4" s="7" t="s">
        <v>45</v>
      </c>
      <c r="J4" s="8">
        <f>AVERAGE(D3:D22)</f>
        <v>166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2:22" ht="21.95" customHeight="1" x14ac:dyDescent="0.25">
      <c r="B5" s="2" t="s">
        <v>9</v>
      </c>
      <c r="C5" s="3" t="s">
        <v>10</v>
      </c>
      <c r="D5" s="4">
        <v>150</v>
      </c>
      <c r="E5" s="4">
        <v>79</v>
      </c>
      <c r="F5" s="12">
        <f t="shared" si="0"/>
        <v>11850</v>
      </c>
      <c r="G5" s="10">
        <f t="shared" si="1"/>
        <v>12000</v>
      </c>
      <c r="H5" s="1"/>
      <c r="I5" s="7" t="s">
        <v>46</v>
      </c>
      <c r="J5" s="8">
        <f>MAX(E3:E22)</f>
        <v>91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2:22" ht="21.95" customHeight="1" x14ac:dyDescent="0.25">
      <c r="B6" s="2" t="s">
        <v>11</v>
      </c>
      <c r="C6" s="3" t="s">
        <v>0</v>
      </c>
      <c r="D6" s="4">
        <v>100</v>
      </c>
      <c r="E6" s="4">
        <v>87</v>
      </c>
      <c r="F6" s="12">
        <f t="shared" si="0"/>
        <v>8700</v>
      </c>
      <c r="G6" s="10">
        <f t="shared" si="1"/>
        <v>9000</v>
      </c>
      <c r="H6" s="1"/>
      <c r="I6" s="7" t="s">
        <v>47</v>
      </c>
      <c r="J6" s="8">
        <f>MIN(E3:E22)</f>
        <v>31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2:22" ht="21.95" customHeight="1" x14ac:dyDescent="0.25">
      <c r="B7" s="2" t="s">
        <v>12</v>
      </c>
      <c r="C7" s="3" t="s">
        <v>13</v>
      </c>
      <c r="D7" s="4">
        <v>80</v>
      </c>
      <c r="E7" s="4">
        <v>57</v>
      </c>
      <c r="F7" s="12">
        <f t="shared" si="0"/>
        <v>4560</v>
      </c>
      <c r="G7" s="10">
        <f t="shared" si="1"/>
        <v>5000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2:22" ht="21.95" customHeight="1" x14ac:dyDescent="0.25">
      <c r="B8" s="2" t="s">
        <v>14</v>
      </c>
      <c r="C8" s="3" t="s">
        <v>15</v>
      </c>
      <c r="D8" s="4">
        <v>120</v>
      </c>
      <c r="E8" s="4">
        <v>65</v>
      </c>
      <c r="F8" s="12">
        <f t="shared" si="0"/>
        <v>7800</v>
      </c>
      <c r="G8" s="10">
        <f t="shared" si="1"/>
        <v>8000</v>
      </c>
      <c r="H8" s="1"/>
      <c r="I8" s="15" t="s">
        <v>55</v>
      </c>
      <c r="J8" s="15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2:22" ht="21.95" customHeight="1" x14ac:dyDescent="0.25">
      <c r="B9" s="2" t="s">
        <v>16</v>
      </c>
      <c r="C9" s="3" t="s">
        <v>17</v>
      </c>
      <c r="D9" s="4">
        <v>250</v>
      </c>
      <c r="E9" s="4">
        <v>31</v>
      </c>
      <c r="F9" s="12">
        <f t="shared" si="0"/>
        <v>7750</v>
      </c>
      <c r="G9" s="10">
        <f t="shared" si="1"/>
        <v>8000</v>
      </c>
      <c r="H9" s="1"/>
      <c r="I9" s="13" t="s">
        <v>48</v>
      </c>
      <c r="J9" s="14">
        <f>SUMIF(D3:D22,"&gt;="&amp;J4,E3:E22)</f>
        <v>637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2:22" ht="21.95" customHeight="1" x14ac:dyDescent="0.25">
      <c r="B10" s="2" t="s">
        <v>18</v>
      </c>
      <c r="C10" s="3" t="s">
        <v>19</v>
      </c>
      <c r="D10" s="4">
        <v>100</v>
      </c>
      <c r="E10" s="4">
        <v>86</v>
      </c>
      <c r="F10" s="12">
        <f t="shared" si="0"/>
        <v>8600</v>
      </c>
      <c r="G10" s="10">
        <f t="shared" si="1"/>
        <v>9000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2:22" ht="21.95" customHeight="1" x14ac:dyDescent="0.25">
      <c r="B11" s="2" t="s">
        <v>20</v>
      </c>
      <c r="C11" s="5" t="s">
        <v>21</v>
      </c>
      <c r="D11" s="5">
        <v>130</v>
      </c>
      <c r="E11" s="5">
        <v>88</v>
      </c>
      <c r="F11" s="12">
        <f t="shared" si="0"/>
        <v>11440</v>
      </c>
      <c r="G11" s="10">
        <f t="shared" si="1"/>
        <v>12000</v>
      </c>
      <c r="H11" s="1"/>
      <c r="I11" s="15" t="s">
        <v>56</v>
      </c>
      <c r="J11" s="15"/>
      <c r="K11" s="1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2:22" ht="21.95" customHeight="1" x14ac:dyDescent="0.25">
      <c r="B12" s="2" t="s">
        <v>22</v>
      </c>
      <c r="C12" s="5" t="s">
        <v>23</v>
      </c>
      <c r="D12" s="5">
        <v>200</v>
      </c>
      <c r="E12" s="5">
        <v>89</v>
      </c>
      <c r="F12" s="12">
        <f t="shared" si="0"/>
        <v>17800</v>
      </c>
      <c r="G12" s="10">
        <f t="shared" si="1"/>
        <v>18000</v>
      </c>
      <c r="H12" s="1"/>
      <c r="I12" s="2" t="s">
        <v>49</v>
      </c>
      <c r="J12" s="2" t="s">
        <v>50</v>
      </c>
      <c r="K12" s="2" t="s">
        <v>51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2:22" ht="21.95" customHeight="1" x14ac:dyDescent="0.25">
      <c r="B13" s="2" t="s">
        <v>24</v>
      </c>
      <c r="C13" s="5" t="s">
        <v>25</v>
      </c>
      <c r="D13" s="5">
        <v>250</v>
      </c>
      <c r="E13" s="5">
        <v>62</v>
      </c>
      <c r="F13" s="12">
        <f t="shared" si="0"/>
        <v>15500</v>
      </c>
      <c r="G13" s="10">
        <f t="shared" si="1"/>
        <v>16000</v>
      </c>
      <c r="H13" s="1"/>
      <c r="I13" s="7" t="s">
        <v>8</v>
      </c>
      <c r="J13" s="11" t="str">
        <f>MID(B4,5,2)</f>
        <v>KS</v>
      </c>
      <c r="K13" s="11" t="str">
        <f>RIGHT(B4,3)</f>
        <v>406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2:22" ht="21.95" customHeight="1" x14ac:dyDescent="0.25">
      <c r="B14" s="2" t="s">
        <v>26</v>
      </c>
      <c r="C14" s="5" t="s">
        <v>27</v>
      </c>
      <c r="D14" s="5">
        <v>180</v>
      </c>
      <c r="E14" s="5">
        <v>83</v>
      </c>
      <c r="F14" s="12">
        <f t="shared" si="0"/>
        <v>14940</v>
      </c>
      <c r="G14" s="10">
        <f t="shared" si="1"/>
        <v>15000</v>
      </c>
      <c r="H14" s="1"/>
      <c r="I14" s="7" t="s">
        <v>41</v>
      </c>
      <c r="J14" s="11" t="str">
        <f>MID(B21,5,2)</f>
        <v>UQ</v>
      </c>
      <c r="K14" s="11" t="str">
        <f>RIGHT(B21,3)</f>
        <v>207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2:22" ht="21.95" customHeight="1" x14ac:dyDescent="0.25">
      <c r="B15" s="2" t="s">
        <v>28</v>
      </c>
      <c r="C15" s="5" t="s">
        <v>29</v>
      </c>
      <c r="D15" s="5">
        <v>350</v>
      </c>
      <c r="E15" s="5">
        <v>68</v>
      </c>
      <c r="F15" s="12">
        <f t="shared" si="0"/>
        <v>23800</v>
      </c>
      <c r="G15" s="10">
        <f t="shared" si="1"/>
        <v>24000</v>
      </c>
      <c r="H15" s="1"/>
      <c r="I15" s="7" t="s">
        <v>29</v>
      </c>
      <c r="J15" s="11" t="str">
        <f>MID(B15,5,2)</f>
        <v>EW</v>
      </c>
      <c r="K15" s="11" t="str">
        <f>RIGHT(B15,3)</f>
        <v>764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2:22" ht="21.95" customHeight="1" x14ac:dyDescent="0.25">
      <c r="B16" s="2" t="s">
        <v>30</v>
      </c>
      <c r="C16" s="5" t="s">
        <v>31</v>
      </c>
      <c r="D16" s="5">
        <v>200</v>
      </c>
      <c r="E16" s="5">
        <v>80</v>
      </c>
      <c r="F16" s="12">
        <f t="shared" si="0"/>
        <v>16000</v>
      </c>
      <c r="G16" s="10">
        <f t="shared" si="1"/>
        <v>16000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ht="21.95" customHeight="1" x14ac:dyDescent="0.25">
      <c r="B17" s="2" t="s">
        <v>32</v>
      </c>
      <c r="C17" s="5" t="s">
        <v>33</v>
      </c>
      <c r="D17" s="5">
        <v>100</v>
      </c>
      <c r="E17" s="5">
        <v>46</v>
      </c>
      <c r="F17" s="12">
        <f t="shared" si="0"/>
        <v>4600</v>
      </c>
      <c r="G17" s="10">
        <f t="shared" si="1"/>
        <v>5000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ht="21.95" customHeight="1" x14ac:dyDescent="0.25">
      <c r="B18" s="2" t="s">
        <v>34</v>
      </c>
      <c r="C18" s="5" t="s">
        <v>35</v>
      </c>
      <c r="D18" s="5">
        <v>200</v>
      </c>
      <c r="E18" s="5">
        <v>91</v>
      </c>
      <c r="F18" s="12">
        <f t="shared" si="0"/>
        <v>18200</v>
      </c>
      <c r="G18" s="10">
        <f t="shared" si="1"/>
        <v>19000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2:22" ht="21.95" customHeight="1" x14ac:dyDescent="0.25">
      <c r="B19" s="2" t="s">
        <v>36</v>
      </c>
      <c r="C19" s="5" t="s">
        <v>37</v>
      </c>
      <c r="D19" s="5">
        <v>220</v>
      </c>
      <c r="E19" s="5">
        <v>91</v>
      </c>
      <c r="F19" s="12">
        <f t="shared" si="0"/>
        <v>20020</v>
      </c>
      <c r="G19" s="10">
        <f t="shared" si="1"/>
        <v>21000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2:22" ht="21.95" customHeight="1" x14ac:dyDescent="0.25">
      <c r="B20" s="2" t="s">
        <v>38</v>
      </c>
      <c r="C20" s="5" t="s">
        <v>39</v>
      </c>
      <c r="D20" s="5">
        <v>120</v>
      </c>
      <c r="E20" s="5">
        <v>63</v>
      </c>
      <c r="F20" s="12">
        <f t="shared" si="0"/>
        <v>7560</v>
      </c>
      <c r="G20" s="10">
        <f t="shared" si="1"/>
        <v>8000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ht="21.95" customHeight="1" x14ac:dyDescent="0.25">
      <c r="B21" s="2" t="s">
        <v>40</v>
      </c>
      <c r="C21" s="5" t="s">
        <v>41</v>
      </c>
      <c r="D21" s="5">
        <v>120</v>
      </c>
      <c r="E21" s="5">
        <v>78</v>
      </c>
      <c r="F21" s="12">
        <f t="shared" si="0"/>
        <v>9360</v>
      </c>
      <c r="G21" s="10">
        <f t="shared" si="1"/>
        <v>10000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2:22" ht="21.95" customHeight="1" x14ac:dyDescent="0.25">
      <c r="B22" s="2" t="s">
        <v>42</v>
      </c>
      <c r="C22" s="5" t="s">
        <v>43</v>
      </c>
      <c r="D22" s="5">
        <v>180</v>
      </c>
      <c r="E22" s="5">
        <v>42</v>
      </c>
      <c r="F22" s="12">
        <f t="shared" si="0"/>
        <v>7560</v>
      </c>
      <c r="G22" s="10">
        <f t="shared" si="1"/>
        <v>8000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2:22" ht="15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2:22" ht="15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</sheetData>
  <mergeCells count="3">
    <mergeCell ref="I2:J2"/>
    <mergeCell ref="I8:J8"/>
    <mergeCell ref="I11:K11"/>
  </mergeCells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商品在庫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清水哲也</cp:lastModifiedBy>
  <dcterms:created xsi:type="dcterms:W3CDTF">2025-11-09T05:55:28Z</dcterms:created>
  <dcterms:modified xsi:type="dcterms:W3CDTF">2025-11-10T06:28:24Z</dcterms:modified>
</cp:coreProperties>
</file>