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勤務データ" sheetId="1" state="visible" r:id="rId1"/>
    <sheet xmlns:r="http://schemas.openxmlformats.org/officeDocument/2006/relationships" name="SUMIF練習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WorkTable" displayName="WorkTable" ref="A1:E11" headerRowCount="1">
  <autoFilter ref="A1:E11"/>
  <tableColumns count="5">
    <tableColumn id="1" name="社員ID"/>
    <tableColumn id="2" name="氏名"/>
    <tableColumn id="3" name="部署"/>
    <tableColumn id="4" name="勤務日数"/>
    <tableColumn id="5" name="残業時間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社員ID</t>
        </is>
      </c>
      <c r="B1" t="inlineStr">
        <is>
          <t>氏名</t>
        </is>
      </c>
      <c r="C1" t="inlineStr">
        <is>
          <t>部署</t>
        </is>
      </c>
      <c r="D1" t="inlineStr">
        <is>
          <t>勤務日数</t>
        </is>
      </c>
      <c r="E1" t="inlineStr">
        <is>
          <t>残業時間</t>
        </is>
      </c>
    </row>
    <row r="2">
      <c r="A2" t="inlineStr">
        <is>
          <t>E001</t>
        </is>
      </c>
      <c r="B2" t="inlineStr">
        <is>
          <t>佐藤太郎</t>
        </is>
      </c>
      <c r="C2" t="inlineStr">
        <is>
          <t>営業</t>
        </is>
      </c>
      <c r="D2" t="n">
        <v>18</v>
      </c>
      <c r="E2" t="n">
        <v>11</v>
      </c>
    </row>
    <row r="3">
      <c r="A3" t="inlineStr">
        <is>
          <t>E002</t>
        </is>
      </c>
      <c r="B3" t="inlineStr">
        <is>
          <t>鈴木花子</t>
        </is>
      </c>
      <c r="C3" t="inlineStr">
        <is>
          <t>経理</t>
        </is>
      </c>
      <c r="D3" t="n">
        <v>19</v>
      </c>
      <c r="E3" t="n">
        <v>3</v>
      </c>
    </row>
    <row r="4">
      <c r="A4" t="inlineStr">
        <is>
          <t>E003</t>
        </is>
      </c>
      <c r="B4" t="inlineStr">
        <is>
          <t>田中一郎</t>
        </is>
      </c>
      <c r="C4" t="inlineStr">
        <is>
          <t>開発</t>
        </is>
      </c>
      <c r="D4" t="n">
        <v>23</v>
      </c>
      <c r="E4" t="n">
        <v>1</v>
      </c>
    </row>
    <row r="5">
      <c r="A5" t="inlineStr">
        <is>
          <t>E004</t>
        </is>
      </c>
      <c r="B5" t="inlineStr">
        <is>
          <t>山田次郎</t>
        </is>
      </c>
      <c r="C5" t="inlineStr">
        <is>
          <t>営業</t>
        </is>
      </c>
      <c r="D5" t="n">
        <v>22</v>
      </c>
      <c r="E5" t="n">
        <v>6</v>
      </c>
    </row>
    <row r="6">
      <c r="A6" t="inlineStr">
        <is>
          <t>E005</t>
        </is>
      </c>
      <c r="B6" t="inlineStr">
        <is>
          <t>高橋美咲</t>
        </is>
      </c>
      <c r="C6" t="inlineStr">
        <is>
          <t>営業</t>
        </is>
      </c>
      <c r="D6" t="n">
        <v>18</v>
      </c>
      <c r="E6" t="n">
        <v>1</v>
      </c>
    </row>
    <row r="7">
      <c r="A7" t="inlineStr">
        <is>
          <t>E006</t>
        </is>
      </c>
      <c r="B7" t="inlineStr">
        <is>
          <t>中村健</t>
        </is>
      </c>
      <c r="C7" t="inlineStr">
        <is>
          <t>開発</t>
        </is>
      </c>
      <c r="D7" t="n">
        <v>19</v>
      </c>
      <c r="E7" t="n">
        <v>8</v>
      </c>
    </row>
    <row r="8">
      <c r="A8" t="inlineStr">
        <is>
          <t>E007</t>
        </is>
      </c>
      <c r="B8" t="inlineStr">
        <is>
          <t>伊藤陽子</t>
        </is>
      </c>
      <c r="C8" t="inlineStr">
        <is>
          <t>営業</t>
        </is>
      </c>
      <c r="D8" t="n">
        <v>22</v>
      </c>
      <c r="E8" t="n">
        <v>3</v>
      </c>
    </row>
    <row r="9">
      <c r="A9" t="inlineStr">
        <is>
          <t>E008</t>
        </is>
      </c>
      <c r="B9" t="inlineStr">
        <is>
          <t>渡辺真</t>
        </is>
      </c>
      <c r="C9" t="inlineStr">
        <is>
          <t>総務</t>
        </is>
      </c>
      <c r="D9" t="n">
        <v>19</v>
      </c>
      <c r="E9" t="n">
        <v>7</v>
      </c>
    </row>
    <row r="10">
      <c r="A10" t="inlineStr">
        <is>
          <t>E009</t>
        </is>
      </c>
      <c r="B10" t="inlineStr">
        <is>
          <t>小林翔</t>
        </is>
      </c>
      <c r="C10" t="inlineStr">
        <is>
          <t>経理</t>
        </is>
      </c>
      <c r="D10" t="n">
        <v>18</v>
      </c>
      <c r="E10" t="n">
        <v>12</v>
      </c>
    </row>
    <row r="11">
      <c r="A11" t="inlineStr">
        <is>
          <t>E010</t>
        </is>
      </c>
      <c r="B11" t="inlineStr">
        <is>
          <t>加藤恵</t>
        </is>
      </c>
      <c r="C11" t="inlineStr">
        <is>
          <t>開発</t>
        </is>
      </c>
      <c r="D11" t="n">
        <v>23</v>
      </c>
      <c r="E11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練習内容</t>
        </is>
      </c>
      <c r="B1" t="inlineStr">
        <is>
          <t>条件</t>
        </is>
      </c>
      <c r="C1" t="inlineStr">
        <is>
          <t>使用関数例</t>
        </is>
      </c>
      <c r="D1" t="inlineStr">
        <is>
          <t>結果</t>
        </is>
      </c>
    </row>
    <row r="2">
      <c r="A2" t="inlineStr">
        <is>
          <t>営業部の勤務日数合計</t>
        </is>
      </c>
      <c r="B2" t="inlineStr">
        <is>
          <t>営業</t>
        </is>
      </c>
      <c r="C2">
        <f>SUMIF(勤務データ!C2:C11,"営業",勤務データ!D2:D11)</f>
        <v/>
      </c>
      <c r="D2">
        <f>SUMIF(勤務データ!C2:C11,"営業",勤務データ!D2:D11)</f>
        <v/>
      </c>
    </row>
    <row r="3">
      <c r="A3" t="inlineStr">
        <is>
          <t>開発部の残業時間合計</t>
        </is>
      </c>
      <c r="B3" t="inlineStr">
        <is>
          <t>開発</t>
        </is>
      </c>
      <c r="C3">
        <f>SUMIF(勤務データ!C2:C11,"開発",勤務データ!E2:E11)</f>
        <v/>
      </c>
      <c r="D3">
        <f>SUMIF(勤務データ!C2:C11,"開発",勤務データ!E2:E11)</f>
        <v/>
      </c>
    </row>
    <row r="4">
      <c r="A4" t="inlineStr">
        <is>
          <t>経理部の勤務日数合計</t>
        </is>
      </c>
      <c r="B4" t="inlineStr">
        <is>
          <t>経理</t>
        </is>
      </c>
      <c r="C4">
        <f>SUMIF(勤務データ!C2:C11,"経理",勤務データ!D2:D11)</f>
        <v/>
      </c>
      <c r="D4">
        <f>SUMIF(勤務データ!C2:C11,"経理",勤務データ!D2:D11)</f>
        <v/>
      </c>
    </row>
    <row r="5">
      <c r="A5" t="inlineStr">
        <is>
          <t>開発部の残業時間&gt;5の合計 (SUMIFS)</t>
        </is>
      </c>
      <c r="B5" t="inlineStr">
        <is>
          <t>開発 + 残業&gt;5</t>
        </is>
      </c>
      <c r="C5">
        <f>SUMIFS(勤務データ!E2:E11,勤務データ!C2:C11,"開発",勤務データ!E2:E11,"&gt;5")</f>
        <v/>
      </c>
      <c r="D5">
        <f>SUMIFS(勤務データ!E2:E11,勤務データ!C2:C11,"開発",勤務データ!E2:E11,"&gt;5")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2025-11-09T08:00:40Z</dcterms:created>
  <dcterms:modified xmlns:dcterms="http://purl.org/dc/terms/" xmlns:xsi="http://www.w3.org/2001/XMLSchema-instance" xsi:type="dcterms:W3CDTF">2025-11-09T08:00:40Z</dcterms:modified>
</cp:coreProperties>
</file>