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集計" sheetId="1" state="visible" r:id="rId1"/>
    <sheet xmlns:r="http://schemas.openxmlformats.org/officeDocument/2006/relationships" name="B_SUMIF" sheetId="2" state="visible" r:id="rId2"/>
    <sheet xmlns:r="http://schemas.openxmlformats.org/officeDocument/2006/relationships" name="C_丸め" sheetId="3" state="visible" r:id="rId3"/>
    <sheet xmlns:r="http://schemas.openxmlformats.org/officeDocument/2006/relationships" name="D_文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</cols>
  <sheetData>
    <row r="1">
      <c r="A1" s="1" t="inlineStr">
        <is>
          <t>項番</t>
        </is>
      </c>
      <c r="B1" s="1" t="inlineStr">
        <is>
          <t>商品</t>
        </is>
      </c>
      <c r="C1" s="1" t="inlineStr">
        <is>
          <t>金額</t>
        </is>
      </c>
      <c r="E1" s="2" t="inlineStr">
        <is>
          <t>集計</t>
        </is>
      </c>
    </row>
    <row r="2">
      <c r="A2" s="3" t="n">
        <v>1</v>
      </c>
      <c r="B2" s="4" t="inlineStr">
        <is>
          <t>ノート</t>
        </is>
      </c>
      <c r="C2" s="5" t="n">
        <v>1200</v>
      </c>
      <c r="E2" s="6" t="inlineStr">
        <is>
          <t>合計</t>
        </is>
      </c>
      <c r="F2" s="7">
        <f>SUM(C2:C9)</f>
        <v/>
      </c>
    </row>
    <row r="3">
      <c r="A3" s="3" t="n">
        <v>2</v>
      </c>
      <c r="B3" s="4" t="inlineStr">
        <is>
          <t>シャープペン</t>
        </is>
      </c>
      <c r="C3" s="5" t="n">
        <v>680</v>
      </c>
      <c r="E3" s="6" t="inlineStr">
        <is>
          <t>平均</t>
        </is>
      </c>
      <c r="F3" s="7">
        <f>AVERAGE(C2:C9)</f>
        <v/>
      </c>
    </row>
    <row r="4">
      <c r="A4" s="3" t="n">
        <v>3</v>
      </c>
      <c r="B4" s="4" t="inlineStr">
        <is>
          <t>消しゴム</t>
        </is>
      </c>
      <c r="C4" s="5" t="n">
        <v>350</v>
      </c>
      <c r="E4" s="6" t="inlineStr">
        <is>
          <t>最大</t>
        </is>
      </c>
      <c r="F4" s="7">
        <f>MAX(C2:C9)</f>
        <v/>
      </c>
    </row>
    <row r="5">
      <c r="A5" s="3" t="n">
        <v>4</v>
      </c>
      <c r="B5" s="4" t="inlineStr">
        <is>
          <t>ファイル</t>
        </is>
      </c>
      <c r="C5" s="5" t="n">
        <v>980</v>
      </c>
      <c r="E5" s="6" t="inlineStr">
        <is>
          <t>最小</t>
        </is>
      </c>
      <c r="F5" s="7">
        <f>MIN(C2:C9)</f>
        <v/>
      </c>
    </row>
    <row r="6">
      <c r="A6" s="3" t="n">
        <v>5</v>
      </c>
      <c r="B6" s="4" t="inlineStr">
        <is>
          <t>付箋</t>
        </is>
      </c>
      <c r="C6" s="5" t="n">
        <v>540</v>
      </c>
    </row>
    <row r="7">
      <c r="A7" s="3" t="n">
        <v>6</v>
      </c>
      <c r="B7" s="4" t="inlineStr">
        <is>
          <t>定規</t>
        </is>
      </c>
      <c r="C7" s="5" t="n">
        <v>430</v>
      </c>
    </row>
    <row r="8">
      <c r="A8" s="3" t="n">
        <v>7</v>
      </c>
      <c r="B8" s="4" t="inlineStr">
        <is>
          <t>ボールペン</t>
        </is>
      </c>
      <c r="C8" s="5" t="n">
        <v>1560</v>
      </c>
    </row>
    <row r="9">
      <c r="A9" s="3" t="n">
        <v>8</v>
      </c>
      <c r="B9" s="4" t="inlineStr">
        <is>
          <t>のり</t>
        </is>
      </c>
      <c r="C9" s="5" t="n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日付</t>
        </is>
      </c>
      <c r="B1" s="1" t="inlineStr">
        <is>
          <t>カテゴリ</t>
        </is>
      </c>
      <c r="C1" s="1" t="inlineStr">
        <is>
          <t>金額</t>
        </is>
      </c>
      <c r="E1" s="2" t="inlineStr">
        <is>
          <t>まとめ</t>
        </is>
      </c>
      <c r="G1" s="8" t="n">
        <v>45931</v>
      </c>
    </row>
    <row r="2">
      <c r="A2" s="9" t="n">
        <v>45931</v>
      </c>
      <c r="B2" s="3" t="inlineStr">
        <is>
          <t>文具</t>
        </is>
      </c>
      <c r="C2" s="5" t="n">
        <v>800</v>
      </c>
      <c r="E2" s="6" t="inlineStr">
        <is>
          <t>文具の合計</t>
        </is>
      </c>
      <c r="F2" s="7">
        <f>SUMIF(B2:B13,"文具",C2:C13)</f>
        <v/>
      </c>
      <c r="G2" t="n">
        <v>1000</v>
      </c>
    </row>
    <row r="3">
      <c r="A3" s="9" t="n">
        <v>45932</v>
      </c>
      <c r="B3" s="3" t="inlineStr">
        <is>
          <t>食品</t>
        </is>
      </c>
      <c r="C3" s="5" t="n">
        <v>1200</v>
      </c>
      <c r="E3" s="6" t="inlineStr">
        <is>
          <t>日付=G1の合計</t>
        </is>
      </c>
      <c r="F3" s="7">
        <f>SUMIF(A2:A13,G1,C2:C13)</f>
        <v/>
      </c>
    </row>
    <row r="4">
      <c r="A4" s="9" t="n">
        <v>45933</v>
      </c>
      <c r="B4" s="3" t="inlineStr">
        <is>
          <t>生活</t>
        </is>
      </c>
      <c r="C4" s="5" t="n">
        <v>450</v>
      </c>
      <c r="E4" s="6" t="inlineStr">
        <is>
          <t>金額&gt;=G2の合計</t>
        </is>
      </c>
      <c r="F4" s="7">
        <f>SUMIF(C2:C13,"&gt;="&amp;G2,C2:C13)</f>
        <v/>
      </c>
    </row>
    <row r="5">
      <c r="A5" s="9" t="n">
        <v>45934</v>
      </c>
      <c r="B5" s="3" t="inlineStr">
        <is>
          <t>雑貨</t>
        </is>
      </c>
      <c r="C5" s="5" t="n">
        <v>980</v>
      </c>
    </row>
    <row r="6">
      <c r="A6" s="9" t="n">
        <v>45935</v>
      </c>
      <c r="B6" s="3" t="inlineStr">
        <is>
          <t>文具</t>
        </is>
      </c>
      <c r="C6" s="5" t="n">
        <v>1600</v>
      </c>
      <c r="E6" s="10" t="inlineStr">
        <is>
          <t>条件は文字列（"&gt;=1000"）。セル参照は "&gt;="&amp;G2 で結合。</t>
        </is>
      </c>
    </row>
    <row r="7">
      <c r="A7" s="9" t="n">
        <v>45936</v>
      </c>
      <c r="B7" s="3" t="inlineStr">
        <is>
          <t>食品</t>
        </is>
      </c>
      <c r="C7" s="5" t="n">
        <v>300</v>
      </c>
    </row>
    <row r="8">
      <c r="A8" s="9" t="n">
        <v>45937</v>
      </c>
      <c r="B8" s="3" t="inlineStr">
        <is>
          <t>生活</t>
        </is>
      </c>
      <c r="C8" s="5" t="n">
        <v>2100</v>
      </c>
    </row>
    <row r="9">
      <c r="A9" s="9" t="n">
        <v>45938</v>
      </c>
      <c r="B9" s="3" t="inlineStr">
        <is>
          <t>雑貨</t>
        </is>
      </c>
      <c r="C9" s="5" t="n">
        <v>700</v>
      </c>
    </row>
    <row r="10">
      <c r="A10" s="9" t="n">
        <v>45939</v>
      </c>
      <c r="B10" s="3" t="inlineStr">
        <is>
          <t>文具</t>
        </is>
      </c>
      <c r="C10" s="5" t="n">
        <v>400</v>
      </c>
    </row>
    <row r="11">
      <c r="A11" s="9" t="n">
        <v>45940</v>
      </c>
      <c r="B11" s="3" t="inlineStr">
        <is>
          <t>食品</t>
        </is>
      </c>
      <c r="C11" s="5" t="n">
        <v>2500</v>
      </c>
    </row>
    <row r="12">
      <c r="A12" s="9" t="n">
        <v>45941</v>
      </c>
      <c r="B12" s="3" t="inlineStr">
        <is>
          <t>生活</t>
        </is>
      </c>
      <c r="C12" s="5" t="n">
        <v>1200</v>
      </c>
    </row>
    <row r="13">
      <c r="A13" s="9" t="n">
        <v>45942</v>
      </c>
      <c r="B13" s="3" t="inlineStr">
        <is>
          <t>雑貨</t>
        </is>
      </c>
      <c r="C13" s="5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値</t>
        </is>
      </c>
      <c r="B1" s="1" t="inlineStr">
        <is>
          <t>ROUND(,0)</t>
        </is>
      </c>
      <c r="C1" s="1" t="inlineStr">
        <is>
          <t>ROUNDDOWN(,-1)</t>
        </is>
      </c>
      <c r="D1" s="1" t="inlineStr">
        <is>
          <t>ROUNDUP(,-2)</t>
        </is>
      </c>
    </row>
    <row r="2">
      <c r="A2" s="11" t="n">
        <v>12.345</v>
      </c>
      <c r="B2" s="5">
        <f>ROUND(A2,0)</f>
        <v/>
      </c>
      <c r="C2" s="5">
        <f>ROUNDDOWN(A2,-1)</f>
        <v/>
      </c>
      <c r="D2" s="5">
        <f>ROUNDUP(A2,-2)</f>
        <v/>
      </c>
      <c r="F2" s="10" t="inlineStr">
        <is>
          <t>桁数：0=整数、-1=10の位、-2=100の位。</t>
        </is>
      </c>
    </row>
    <row r="3">
      <c r="A3" s="11" t="n">
        <v>123.456</v>
      </c>
      <c r="B3" s="5">
        <f>ROUND(A3,0)</f>
        <v/>
      </c>
      <c r="C3" s="5">
        <f>ROUNDDOWN(A3,-1)</f>
        <v/>
      </c>
      <c r="D3" s="5">
        <f>ROUNDUP(A3,-2)</f>
        <v/>
      </c>
    </row>
    <row r="4">
      <c r="A4" s="11" t="n">
        <v>155</v>
      </c>
      <c r="B4" s="5">
        <f>ROUND(A4,0)</f>
        <v/>
      </c>
      <c r="C4" s="5">
        <f>ROUNDDOWN(A4,-1)</f>
        <v/>
      </c>
      <c r="D4" s="5">
        <f>ROUNDUP(A4,-2)</f>
        <v/>
      </c>
    </row>
    <row r="5">
      <c r="A5" s="11" t="n">
        <v>-12.34</v>
      </c>
      <c r="B5" s="5">
        <f>ROUND(A5,0)</f>
        <v/>
      </c>
      <c r="C5" s="5">
        <f>ROUNDDOWN(A5,-1)</f>
        <v/>
      </c>
      <c r="D5" s="5">
        <f>ROUNDUP(A5,-2)</f>
        <v/>
      </c>
    </row>
    <row r="6">
      <c r="A6" s="11" t="n">
        <v>987.65</v>
      </c>
      <c r="B6" s="5">
        <f>ROUND(A6,0)</f>
        <v/>
      </c>
      <c r="C6" s="5">
        <f>ROUNDDOWN(A6,-1)</f>
        <v/>
      </c>
      <c r="D6" s="5">
        <f>ROUNDUP(A6,-2)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</cols>
  <sheetData>
    <row r="1">
      <c r="A1" s="1" t="inlineStr">
        <is>
          <t>コード</t>
        </is>
      </c>
      <c r="B1" s="1" t="inlineStr">
        <is>
          <t>種別(LEFT)</t>
        </is>
      </c>
      <c r="C1" s="1" t="inlineStr">
        <is>
          <t>年(MID)</t>
        </is>
      </c>
      <c r="D1" s="1" t="inlineStr">
        <is>
          <t>連番(RIGHT)</t>
        </is>
      </c>
    </row>
    <row r="2">
      <c r="A2" s="6" t="inlineStr">
        <is>
          <t>P-2025-00123</t>
        </is>
      </c>
      <c r="B2" s="3">
        <f>LEFT(A2,1)</f>
        <v/>
      </c>
      <c r="C2" s="3">
        <f>MID(A2,3,4)</f>
        <v/>
      </c>
      <c r="D2" s="3">
        <f>RIGHT(A2,5)</f>
        <v/>
      </c>
      <c r="F2" s="10" t="inlineStr">
        <is>
          <t>例：P-2025-00123 → LEFT=「P」, MID=「2025」, RIGHT=「00123」</t>
        </is>
      </c>
    </row>
    <row r="3">
      <c r="A3" s="6" t="inlineStr">
        <is>
          <t>A-2024-00007</t>
        </is>
      </c>
      <c r="B3" s="3">
        <f>LEFT(A3,1)</f>
        <v/>
      </c>
      <c r="C3" s="3">
        <f>MID(A3,3,4)</f>
        <v/>
      </c>
      <c r="D3" s="3">
        <f>RIGHT(A3,5)</f>
        <v/>
      </c>
    </row>
    <row r="4">
      <c r="A4" s="6" t="inlineStr">
        <is>
          <t>B-2023-01001</t>
        </is>
      </c>
      <c r="B4" s="3">
        <f>LEFT(A4,1)</f>
        <v/>
      </c>
      <c r="C4" s="3">
        <f>MID(A4,3,4)</f>
        <v/>
      </c>
      <c r="D4" s="3">
        <f>RIGHT(A4,5)</f>
        <v/>
      </c>
    </row>
    <row r="5">
      <c r="A5" s="6" t="inlineStr">
        <is>
          <t>X-2025-12000</t>
        </is>
      </c>
      <c r="B5" s="3">
        <f>LEFT(A5,1)</f>
        <v/>
      </c>
      <c r="C5" s="3">
        <f>MID(A5,3,4)</f>
        <v/>
      </c>
      <c r="D5" s="3">
        <f>RIGHT(A5,5)</f>
        <v/>
      </c>
    </row>
    <row r="6">
      <c r="A6" s="6" t="inlineStr">
        <is>
          <t>P-2022-00001</t>
        </is>
      </c>
      <c r="B6" s="3">
        <f>LEFT(A6,1)</f>
        <v/>
      </c>
      <c r="C6" s="3">
        <f>MID(A6,3,4)</f>
        <v/>
      </c>
      <c r="D6" s="3">
        <f>RIGHT(A6,5)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2025-11-09T05:55:28Z</dcterms:created>
  <dcterms:modified xmlns:dcterms="http://purl.org/dc/terms/" xmlns:xsi="http://www.w3.org/2001/XMLSchema-instance" xsi:type="dcterms:W3CDTF">2025-11-09T05:55:28Z</dcterms:modified>
</cp:coreProperties>
</file>