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tsu\github\2025-SIT-MCfCL\MCfCL-08-Lecture\"/>
    </mc:Choice>
  </mc:AlternateContent>
  <xr:revisionPtr revIDLastSave="0" documentId="13_ncr:1_{BC6A3257-D167-42AF-BA62-B277AD74D75C}" xr6:coauthVersionLast="47" xr6:coauthVersionMax="47" xr10:uidLastSave="{00000000-0000-0000-0000-000000000000}"/>
  <bookViews>
    <workbookView xWindow="1110" yWindow="7020" windowWidth="27810" windowHeight="17820" activeTab="5" xr2:uid="{00000000-000D-0000-FFFF-FFFF00000000}"/>
  </bookViews>
  <sheets>
    <sheet name="注文履歴" sheetId="1" r:id="rId1"/>
    <sheet name="基本集計" sheetId="2" r:id="rId2"/>
    <sheet name="条件付き合計（例）" sheetId="3" r:id="rId3"/>
    <sheet name="条件付き合計" sheetId="4" r:id="rId4"/>
    <sheet name="丸め" sheetId="5" r:id="rId5"/>
    <sheet name="文字列操作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D4" i="6"/>
  <c r="E4" i="6"/>
  <c r="F4" i="6"/>
  <c r="F3" i="6"/>
  <c r="E3" i="6"/>
  <c r="D3" i="6"/>
  <c r="C3" i="6"/>
  <c r="F4" i="5"/>
  <c r="F5" i="5"/>
  <c r="F6" i="5"/>
  <c r="F7" i="5"/>
  <c r="F3" i="5"/>
  <c r="E4" i="5"/>
  <c r="E5" i="5"/>
  <c r="E6" i="5"/>
  <c r="E7" i="5"/>
  <c r="E3" i="5"/>
  <c r="D4" i="5"/>
  <c r="D5" i="5"/>
  <c r="D6" i="5"/>
  <c r="D7" i="5"/>
  <c r="D3" i="5"/>
  <c r="D4" i="4"/>
  <c r="D5" i="4"/>
  <c r="D6" i="4"/>
  <c r="D7" i="4"/>
  <c r="K5" i="3"/>
  <c r="K4" i="3"/>
  <c r="K3" i="3"/>
  <c r="C9" i="2"/>
  <c r="C8" i="2"/>
  <c r="C7" i="2"/>
  <c r="C6" i="2"/>
  <c r="C5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4" i="1"/>
</calcChain>
</file>

<file path=xl/sharedStrings.xml><?xml version="1.0" encoding="utf-8"?>
<sst xmlns="http://schemas.openxmlformats.org/spreadsheetml/2006/main" count="208" uniqueCount="103">
  <si>
    <t>注文ID</t>
  </si>
  <si>
    <t>日付</t>
  </si>
  <si>
    <t>顧客名</t>
  </si>
  <si>
    <t>商品名</t>
  </si>
  <si>
    <t>単価</t>
  </si>
  <si>
    <t>数量</t>
  </si>
  <si>
    <t>金額</t>
  </si>
  <si>
    <t>支払方法</t>
  </si>
  <si>
    <t>2025/11/02</t>
  </si>
  <si>
    <t>佐藤太郎</t>
  </si>
  <si>
    <t>プリンター</t>
  </si>
  <si>
    <t>現金</t>
  </si>
  <si>
    <t>2025/11/03</t>
  </si>
  <si>
    <t>鈴木花子</t>
  </si>
  <si>
    <t>マウス</t>
  </si>
  <si>
    <t>電子マネー</t>
  </si>
  <si>
    <t>2025/11/01</t>
  </si>
  <si>
    <t>2025/11/09</t>
  </si>
  <si>
    <t>加藤恵</t>
  </si>
  <si>
    <t>ノートPC</t>
  </si>
  <si>
    <t>伊藤陽子</t>
  </si>
  <si>
    <t>キーボード</t>
  </si>
  <si>
    <t>銀行振込</t>
  </si>
  <si>
    <t>田中一郎</t>
  </si>
  <si>
    <t>スマートフォン</t>
  </si>
  <si>
    <t>山田次郎</t>
  </si>
  <si>
    <t>タブレット</t>
  </si>
  <si>
    <t>クレジット</t>
  </si>
  <si>
    <t>2025/11/07</t>
  </si>
  <si>
    <t>渡辺真</t>
  </si>
  <si>
    <t>高橋美咲</t>
  </si>
  <si>
    <t>2025/11/04</t>
  </si>
  <si>
    <t>2025/11/06</t>
  </si>
  <si>
    <t>2025/11/05</t>
  </si>
  <si>
    <t>モニター</t>
  </si>
  <si>
    <t>2025/11/10</t>
  </si>
  <si>
    <t>小林翔</t>
  </si>
  <si>
    <t>ヘッドホン</t>
  </si>
  <si>
    <t>2025/11/08</t>
  </si>
  <si>
    <t>項目</t>
  </si>
  <si>
    <t>集計結果</t>
  </si>
  <si>
    <t>総売上</t>
  </si>
  <si>
    <t>平均単価</t>
  </si>
  <si>
    <t>平均購入金額</t>
  </si>
  <si>
    <t>基本集計</t>
    <rPh sb="0" eb="2">
      <t>キホン</t>
    </rPh>
    <rPh sb="2" eb="4">
      <t>シュウケイ</t>
    </rPh>
    <phoneticPr fontId="2"/>
  </si>
  <si>
    <t>最大数量</t>
    <rPh sb="0" eb="2">
      <t>サイダイ</t>
    </rPh>
    <rPh sb="2" eb="4">
      <t>スウリョウ</t>
    </rPh>
    <phoneticPr fontId="2"/>
  </si>
  <si>
    <t>最小金額</t>
    <rPh sb="0" eb="2">
      <t>サイショウ</t>
    </rPh>
    <rPh sb="2" eb="4">
      <t>キンガク</t>
    </rPh>
    <phoneticPr fontId="2"/>
  </si>
  <si>
    <t>条件付き合計</t>
    <rPh sb="0" eb="2">
      <t>ジョウケン</t>
    </rPh>
    <rPh sb="2" eb="3">
      <t>ツ</t>
    </rPh>
    <rPh sb="4" eb="6">
      <t>ゴウケイ</t>
    </rPh>
    <phoneticPr fontId="2"/>
  </si>
  <si>
    <t>スマートフォン</t>
    <phoneticPr fontId="2"/>
  </si>
  <si>
    <t>社員ID</t>
  </si>
  <si>
    <t>氏名</t>
  </si>
  <si>
    <t>部署</t>
  </si>
  <si>
    <t>勤務日数</t>
  </si>
  <si>
    <t>残業時間</t>
  </si>
  <si>
    <t>E001</t>
  </si>
  <si>
    <t>営業</t>
  </si>
  <si>
    <t>E002</t>
  </si>
  <si>
    <t>経理</t>
  </si>
  <si>
    <t>E003</t>
  </si>
  <si>
    <t>開発</t>
  </si>
  <si>
    <t>E004</t>
  </si>
  <si>
    <t>E005</t>
  </si>
  <si>
    <t>E006</t>
  </si>
  <si>
    <t>中村健</t>
  </si>
  <si>
    <t>E007</t>
  </si>
  <si>
    <t>E008</t>
  </si>
  <si>
    <t>総務</t>
  </si>
  <si>
    <t>E009</t>
  </si>
  <si>
    <t>E010</t>
  </si>
  <si>
    <t>練習内容</t>
  </si>
  <si>
    <t>条件</t>
  </si>
  <si>
    <t>使用関数例</t>
  </si>
  <si>
    <t>結果</t>
  </si>
  <si>
    <t xml:space="preserve"> =SUMIF(D3:D12,"営業",E3:E12)</t>
    <phoneticPr fontId="2"/>
  </si>
  <si>
    <t>営業部の勤務日数合計</t>
    <phoneticPr fontId="2"/>
  </si>
  <si>
    <t>勤務日数20日以上の残業時間合計</t>
    <rPh sb="6" eb="7">
      <t>ニチ</t>
    </rPh>
    <rPh sb="7" eb="9">
      <t>イジョウ</t>
    </rPh>
    <rPh sb="10" eb="12">
      <t>ザンギョウ</t>
    </rPh>
    <rPh sb="12" eb="14">
      <t>ジカン</t>
    </rPh>
    <rPh sb="14" eb="16">
      <t>ゴウケイ</t>
    </rPh>
    <phoneticPr fontId="2"/>
  </si>
  <si>
    <t>20日以上</t>
    <rPh sb="2" eb="3">
      <t>ニチ</t>
    </rPh>
    <rPh sb="3" eb="5">
      <t>イジョウ</t>
    </rPh>
    <phoneticPr fontId="2"/>
  </si>
  <si>
    <r>
      <t xml:space="preserve"> =SUMIF(D3:D12,"開発",</t>
    </r>
    <r>
      <rPr>
        <b/>
        <sz val="11"/>
        <color rgb="FFFF0000"/>
        <rFont val="UD Digi Kyokasho NP-R"/>
        <family val="1"/>
        <charset val="128"/>
      </rPr>
      <t>？</t>
    </r>
    <r>
      <rPr>
        <sz val="11"/>
        <color theme="1"/>
        <rFont val="UD Digi Kyokasho NP-R"/>
        <family val="1"/>
        <charset val="128"/>
      </rPr>
      <t>)</t>
    </r>
    <rPh sb="16" eb="18">
      <t>カイハツ</t>
    </rPh>
    <phoneticPr fontId="2"/>
  </si>
  <si>
    <r>
      <t xml:space="preserve"> =SUMIF(E3:E12,</t>
    </r>
    <r>
      <rPr>
        <b/>
        <sz val="11"/>
        <color rgb="FFFF0000"/>
        <rFont val="UD Digi Kyokasho NP-R"/>
        <family val="1"/>
        <charset val="128"/>
      </rPr>
      <t>？</t>
    </r>
    <r>
      <rPr>
        <sz val="11"/>
        <color theme="1"/>
        <rFont val="UD Digi Kyokasho NP-R"/>
        <family val="1"/>
        <charset val="128"/>
      </rPr>
      <t>,</t>
    </r>
    <r>
      <rPr>
        <b/>
        <sz val="11"/>
        <color rgb="FFFF0000"/>
        <rFont val="UD Digi Kyokasho NP-R"/>
        <family val="1"/>
        <charset val="128"/>
      </rPr>
      <t>？</t>
    </r>
    <r>
      <rPr>
        <sz val="11"/>
        <color theme="1"/>
        <rFont val="UD Digi Kyokasho NP-R"/>
        <family val="1"/>
        <charset val="128"/>
      </rPr>
      <t>)</t>
    </r>
    <phoneticPr fontId="2"/>
  </si>
  <si>
    <t>開発部の残業時間合計</t>
    <phoneticPr fontId="2"/>
  </si>
  <si>
    <t>商品名が「スマートフォン」 の数量合計</t>
    <rPh sb="0" eb="3">
      <t>ショウヒンメイ</t>
    </rPh>
    <rPh sb="15" eb="17">
      <t>スウリョウ</t>
    </rPh>
    <rPh sb="17" eb="19">
      <t>ゴウケイ</t>
    </rPh>
    <phoneticPr fontId="2"/>
  </si>
  <si>
    <t>支払い方法が電子マネーの金額合計</t>
    <phoneticPr fontId="2"/>
  </si>
  <si>
    <t>日付が2025/11/03の金額合計</t>
    <rPh sb="0" eb="2">
      <t>ヒヅケ</t>
    </rPh>
    <rPh sb="14" eb="16">
      <t>キンガク</t>
    </rPh>
    <rPh sb="16" eb="18">
      <t>ゴウケイ</t>
    </rPh>
    <phoneticPr fontId="2"/>
  </si>
  <si>
    <t>条件</t>
    <rPh sb="0" eb="2">
      <t>ジョウケン</t>
    </rPh>
    <phoneticPr fontId="2"/>
  </si>
  <si>
    <t>スマートフォン</t>
    <phoneticPr fontId="2"/>
  </si>
  <si>
    <t>2025/11/03</t>
    <phoneticPr fontId="2"/>
  </si>
  <si>
    <t>電子マネー</t>
    <rPh sb="0" eb="2">
      <t>デンシ</t>
    </rPh>
    <phoneticPr fontId="2"/>
  </si>
  <si>
    <t>※C5を参照するか，DATE関数を使う</t>
    <rPh sb="4" eb="6">
      <t>サンショウ</t>
    </rPh>
    <rPh sb="14" eb="16">
      <t>カンスウ</t>
    </rPh>
    <rPh sb="17" eb="18">
      <t>ツカ</t>
    </rPh>
    <phoneticPr fontId="2"/>
  </si>
  <si>
    <t>&gt;=20000</t>
    <phoneticPr fontId="2"/>
  </si>
  <si>
    <t>金額が20,000以上の数量合計</t>
    <rPh sb="0" eb="2">
      <t>キンガク</t>
    </rPh>
    <rPh sb="9" eb="11">
      <t>イジョウ</t>
    </rPh>
    <rPh sb="12" eb="14">
      <t>スウリョウ</t>
    </rPh>
    <rPh sb="14" eb="16">
      <t>ゴウケイ</t>
    </rPh>
    <phoneticPr fontId="2"/>
  </si>
  <si>
    <t>値</t>
    <rPh sb="0" eb="1">
      <t>アタイ</t>
    </rPh>
    <phoneticPr fontId="2"/>
  </si>
  <si>
    <t>桁数</t>
    <rPh sb="0" eb="1">
      <t>ケタ</t>
    </rPh>
    <rPh sb="1" eb="2">
      <t>スウ</t>
    </rPh>
    <phoneticPr fontId="2"/>
  </si>
  <si>
    <t>ROUND関数</t>
    <rPh sb="5" eb="7">
      <t>カンスウ</t>
    </rPh>
    <phoneticPr fontId="2"/>
  </si>
  <si>
    <t>ROUNDDOWN関数</t>
    <rPh sb="9" eb="11">
      <t>カンスウ</t>
    </rPh>
    <phoneticPr fontId="2"/>
  </si>
  <si>
    <t>ROUNDUP関数</t>
    <rPh sb="7" eb="9">
      <t>カンスウ</t>
    </rPh>
    <phoneticPr fontId="2"/>
  </si>
  <si>
    <t>学籍番号</t>
    <rPh sb="0" eb="2">
      <t>ガクセキ</t>
    </rPh>
    <rPh sb="2" eb="4">
      <t>バンゴウ</t>
    </rPh>
    <phoneticPr fontId="2"/>
  </si>
  <si>
    <t>入学年度</t>
    <rPh sb="0" eb="2">
      <t>ニュウガク</t>
    </rPh>
    <rPh sb="2" eb="4">
      <t>ネンド</t>
    </rPh>
    <phoneticPr fontId="2"/>
  </si>
  <si>
    <t>学部</t>
    <rPh sb="0" eb="2">
      <t>ガクブ</t>
    </rPh>
    <phoneticPr fontId="2"/>
  </si>
  <si>
    <t>学科番号</t>
    <rPh sb="0" eb="2">
      <t>ガッカ</t>
    </rPh>
    <rPh sb="2" eb="4">
      <t>バンゴウ</t>
    </rPh>
    <phoneticPr fontId="2"/>
  </si>
  <si>
    <t>個人番号</t>
    <rPh sb="0" eb="2">
      <t>コジン</t>
    </rPh>
    <rPh sb="2" eb="4">
      <t>バンゴウ</t>
    </rPh>
    <phoneticPr fontId="2"/>
  </si>
  <si>
    <t>23B3456</t>
    <phoneticPr fontId="2"/>
  </si>
  <si>
    <t>↑自分の学籍番号を入力してください</t>
    <rPh sb="1" eb="3">
      <t>ジブン</t>
    </rPh>
    <rPh sb="4" eb="6">
      <t>ガクセキ</t>
    </rPh>
    <rPh sb="6" eb="8">
      <t>バンゴウ</t>
    </rPh>
    <rPh sb="9" eb="11">
      <t>ニュウリョク</t>
    </rPh>
    <phoneticPr fontId="2"/>
  </si>
  <si>
    <t>25A7123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</si>
</sst>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&quot;¥&quot;#,##0.00_);[Red]\(&quot;¥&quot;#,##0.00\)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UD Digi Kyokasho NP-R"/>
      <family val="1"/>
      <charset val="128"/>
    </font>
    <font>
      <b/>
      <sz val="11"/>
      <color theme="1"/>
      <name val="UD Digi Kyokasho NP-R"/>
      <family val="1"/>
      <charset val="128"/>
    </font>
    <font>
      <b/>
      <sz val="11"/>
      <color rgb="FFFF0000"/>
      <name val="UD Digi Kyokasho NP-R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5" xfId="1" applyNumberFormat="1" applyFont="1" applyBorder="1" applyAlignment="1">
      <alignment vertical="center"/>
    </xf>
    <xf numFmtId="176" fontId="3" fillId="0" borderId="0" xfId="1" applyNumberFormat="1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76" fontId="3" fillId="2" borderId="0" xfId="1" applyNumberFormat="1" applyFont="1" applyFill="1" applyAlignment="1">
      <alignment horizontal="center" vertical="center"/>
    </xf>
    <xf numFmtId="177" fontId="3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top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33"/>
  <sheetViews>
    <sheetView topLeftCell="C15" zoomScale="150" zoomScaleNormal="150" workbookViewId="0">
      <selection activeCell="E9" sqref="E9"/>
    </sheetView>
  </sheetViews>
  <sheetFormatPr defaultRowHeight="13.5" x14ac:dyDescent="0.15"/>
  <cols>
    <col min="3" max="3" width="7.625" bestFit="1" customWidth="1"/>
    <col min="4" max="4" width="16.125" customWidth="1"/>
    <col min="5" max="5" width="12.625" customWidth="1"/>
    <col min="6" max="6" width="18.375" customWidth="1"/>
    <col min="7" max="7" width="12.125" bestFit="1" customWidth="1"/>
    <col min="8" max="8" width="9.125" bestFit="1" customWidth="1"/>
    <col min="9" max="9" width="14.125" customWidth="1"/>
    <col min="10" max="10" width="12.5" customWidth="1"/>
  </cols>
  <sheetData>
    <row r="3" spans="3:10" ht="21.95" customHeight="1" thickBot="1" x14ac:dyDescent="0.2">
      <c r="C3" s="13" t="s">
        <v>0</v>
      </c>
      <c r="D3" s="14" t="s">
        <v>1</v>
      </c>
      <c r="E3" s="15" t="s">
        <v>2</v>
      </c>
      <c r="F3" s="13" t="s">
        <v>3</v>
      </c>
      <c r="G3" s="13" t="s">
        <v>4</v>
      </c>
      <c r="H3" s="14" t="s">
        <v>5</v>
      </c>
      <c r="I3" s="15" t="s">
        <v>6</v>
      </c>
      <c r="J3" s="13" t="s">
        <v>7</v>
      </c>
    </row>
    <row r="4" spans="3:10" ht="21.95" customHeight="1" thickTop="1" x14ac:dyDescent="0.15">
      <c r="C4" s="4">
        <v>1001</v>
      </c>
      <c r="D4" s="5" t="s">
        <v>8</v>
      </c>
      <c r="E4" s="3" t="s">
        <v>9</v>
      </c>
      <c r="F4" s="1" t="s">
        <v>10</v>
      </c>
      <c r="G4" s="7">
        <v>15000</v>
      </c>
      <c r="H4" s="5">
        <v>7</v>
      </c>
      <c r="I4" s="6">
        <f>G4*H4</f>
        <v>105000</v>
      </c>
      <c r="J4" s="1" t="s">
        <v>11</v>
      </c>
    </row>
    <row r="5" spans="3:10" ht="21.95" customHeight="1" x14ac:dyDescent="0.15">
      <c r="C5" s="4">
        <v>1002</v>
      </c>
      <c r="D5" s="5" t="s">
        <v>12</v>
      </c>
      <c r="E5" s="3" t="s">
        <v>13</v>
      </c>
      <c r="F5" s="1" t="s">
        <v>14</v>
      </c>
      <c r="G5" s="7">
        <v>2000</v>
      </c>
      <c r="H5" s="5">
        <v>3</v>
      </c>
      <c r="I5" s="6">
        <f t="shared" ref="I5:I33" si="0">G5*H5</f>
        <v>6000</v>
      </c>
      <c r="J5" s="1" t="s">
        <v>15</v>
      </c>
    </row>
    <row r="6" spans="3:10" ht="21.95" customHeight="1" x14ac:dyDescent="0.15">
      <c r="C6" s="4">
        <v>1003</v>
      </c>
      <c r="D6" s="5" t="s">
        <v>16</v>
      </c>
      <c r="E6" s="3" t="s">
        <v>9</v>
      </c>
      <c r="F6" s="1" t="s">
        <v>14</v>
      </c>
      <c r="G6" s="7">
        <v>2000</v>
      </c>
      <c r="H6" s="5">
        <v>8</v>
      </c>
      <c r="I6" s="6">
        <f t="shared" si="0"/>
        <v>16000</v>
      </c>
      <c r="J6" s="1" t="s">
        <v>11</v>
      </c>
    </row>
    <row r="7" spans="3:10" ht="21.95" customHeight="1" x14ac:dyDescent="0.15">
      <c r="C7" s="4">
        <v>1004</v>
      </c>
      <c r="D7" s="5" t="s">
        <v>17</v>
      </c>
      <c r="E7" s="3" t="s">
        <v>18</v>
      </c>
      <c r="F7" s="1" t="s">
        <v>19</v>
      </c>
      <c r="G7" s="7">
        <v>120000</v>
      </c>
      <c r="H7" s="5">
        <v>8</v>
      </c>
      <c r="I7" s="6">
        <f t="shared" si="0"/>
        <v>960000</v>
      </c>
      <c r="J7" s="1" t="s">
        <v>11</v>
      </c>
    </row>
    <row r="8" spans="3:10" ht="21.95" customHeight="1" x14ac:dyDescent="0.15">
      <c r="C8" s="4">
        <v>1005</v>
      </c>
      <c r="D8" s="5" t="s">
        <v>17</v>
      </c>
      <c r="E8" s="3" t="s">
        <v>20</v>
      </c>
      <c r="F8" s="1" t="s">
        <v>21</v>
      </c>
      <c r="G8" s="7">
        <v>5000</v>
      </c>
      <c r="H8" s="5">
        <v>4</v>
      </c>
      <c r="I8" s="6">
        <f t="shared" si="0"/>
        <v>20000</v>
      </c>
      <c r="J8" s="1" t="s">
        <v>22</v>
      </c>
    </row>
    <row r="9" spans="3:10" ht="21.95" customHeight="1" x14ac:dyDescent="0.15">
      <c r="C9" s="4">
        <v>1006</v>
      </c>
      <c r="D9" s="5" t="s">
        <v>16</v>
      </c>
      <c r="E9" s="3" t="s">
        <v>23</v>
      </c>
      <c r="F9" s="1" t="s">
        <v>24</v>
      </c>
      <c r="G9" s="7">
        <v>80000</v>
      </c>
      <c r="H9" s="5">
        <v>8</v>
      </c>
      <c r="I9" s="6">
        <f t="shared" si="0"/>
        <v>640000</v>
      </c>
      <c r="J9" s="1" t="s">
        <v>22</v>
      </c>
    </row>
    <row r="10" spans="3:10" ht="21.95" customHeight="1" x14ac:dyDescent="0.15">
      <c r="C10" s="4">
        <v>1007</v>
      </c>
      <c r="D10" s="5" t="s">
        <v>12</v>
      </c>
      <c r="E10" s="3" t="s">
        <v>25</v>
      </c>
      <c r="F10" s="1" t="s">
        <v>26</v>
      </c>
      <c r="G10" s="7">
        <v>40000</v>
      </c>
      <c r="H10" s="5">
        <v>7</v>
      </c>
      <c r="I10" s="6">
        <f t="shared" si="0"/>
        <v>280000</v>
      </c>
      <c r="J10" s="1" t="s">
        <v>27</v>
      </c>
    </row>
    <row r="11" spans="3:10" ht="21.95" customHeight="1" x14ac:dyDescent="0.15">
      <c r="C11" s="4">
        <v>1008</v>
      </c>
      <c r="D11" s="5" t="s">
        <v>28</v>
      </c>
      <c r="E11" s="3" t="s">
        <v>13</v>
      </c>
      <c r="F11" s="1" t="s">
        <v>26</v>
      </c>
      <c r="G11" s="7">
        <v>40000</v>
      </c>
      <c r="H11" s="5">
        <v>4</v>
      </c>
      <c r="I11" s="6">
        <f t="shared" si="0"/>
        <v>160000</v>
      </c>
      <c r="J11" s="1" t="s">
        <v>22</v>
      </c>
    </row>
    <row r="12" spans="3:10" ht="21.95" customHeight="1" x14ac:dyDescent="0.15">
      <c r="C12" s="4">
        <v>1009</v>
      </c>
      <c r="D12" s="5" t="s">
        <v>16</v>
      </c>
      <c r="E12" s="3" t="s">
        <v>29</v>
      </c>
      <c r="F12" s="1" t="s">
        <v>14</v>
      </c>
      <c r="G12" s="7">
        <v>2000</v>
      </c>
      <c r="H12" s="5">
        <v>2</v>
      </c>
      <c r="I12" s="6">
        <f t="shared" si="0"/>
        <v>4000</v>
      </c>
      <c r="J12" s="1" t="s">
        <v>27</v>
      </c>
    </row>
    <row r="13" spans="3:10" ht="21.95" customHeight="1" x14ac:dyDescent="0.15">
      <c r="C13" s="4">
        <v>1010</v>
      </c>
      <c r="D13" s="5" t="s">
        <v>17</v>
      </c>
      <c r="E13" s="3" t="s">
        <v>30</v>
      </c>
      <c r="F13" s="1" t="s">
        <v>26</v>
      </c>
      <c r="G13" s="7">
        <v>40000</v>
      </c>
      <c r="H13" s="5">
        <v>3</v>
      </c>
      <c r="I13" s="6">
        <f t="shared" si="0"/>
        <v>120000</v>
      </c>
      <c r="J13" s="1" t="s">
        <v>11</v>
      </c>
    </row>
    <row r="14" spans="3:10" ht="21.95" customHeight="1" x14ac:dyDescent="0.15">
      <c r="C14" s="4">
        <v>1011</v>
      </c>
      <c r="D14" s="5" t="s">
        <v>8</v>
      </c>
      <c r="E14" s="3" t="s">
        <v>9</v>
      </c>
      <c r="F14" s="1" t="s">
        <v>21</v>
      </c>
      <c r="G14" s="7">
        <v>5000</v>
      </c>
      <c r="H14" s="5">
        <v>7</v>
      </c>
      <c r="I14" s="6">
        <f t="shared" si="0"/>
        <v>35000</v>
      </c>
      <c r="J14" s="1" t="s">
        <v>27</v>
      </c>
    </row>
    <row r="15" spans="3:10" ht="21.95" customHeight="1" x14ac:dyDescent="0.15">
      <c r="C15" s="4">
        <v>1012</v>
      </c>
      <c r="D15" s="5" t="s">
        <v>31</v>
      </c>
      <c r="E15" s="3" t="s">
        <v>13</v>
      </c>
      <c r="F15" s="1" t="s">
        <v>24</v>
      </c>
      <c r="G15" s="7">
        <v>80000</v>
      </c>
      <c r="H15" s="5">
        <v>2</v>
      </c>
      <c r="I15" s="6">
        <f t="shared" si="0"/>
        <v>160000</v>
      </c>
      <c r="J15" s="1" t="s">
        <v>15</v>
      </c>
    </row>
    <row r="16" spans="3:10" ht="21.95" customHeight="1" x14ac:dyDescent="0.15">
      <c r="C16" s="4">
        <v>1013</v>
      </c>
      <c r="D16" s="5" t="s">
        <v>32</v>
      </c>
      <c r="E16" s="3" t="s">
        <v>23</v>
      </c>
      <c r="F16" s="1" t="s">
        <v>26</v>
      </c>
      <c r="G16" s="7">
        <v>40000</v>
      </c>
      <c r="H16" s="5">
        <v>1</v>
      </c>
      <c r="I16" s="6">
        <f t="shared" si="0"/>
        <v>40000</v>
      </c>
      <c r="J16" s="1" t="s">
        <v>11</v>
      </c>
    </row>
    <row r="17" spans="3:10" ht="21.95" customHeight="1" x14ac:dyDescent="0.15">
      <c r="C17" s="4">
        <v>1014</v>
      </c>
      <c r="D17" s="5" t="s">
        <v>33</v>
      </c>
      <c r="E17" s="3" t="s">
        <v>13</v>
      </c>
      <c r="F17" s="1" t="s">
        <v>34</v>
      </c>
      <c r="G17" s="7">
        <v>25000</v>
      </c>
      <c r="H17" s="5">
        <v>3</v>
      </c>
      <c r="I17" s="6">
        <f t="shared" si="0"/>
        <v>75000</v>
      </c>
      <c r="J17" s="1" t="s">
        <v>11</v>
      </c>
    </row>
    <row r="18" spans="3:10" ht="21.95" customHeight="1" x14ac:dyDescent="0.15">
      <c r="C18" s="4">
        <v>1015</v>
      </c>
      <c r="D18" s="5" t="s">
        <v>12</v>
      </c>
      <c r="E18" s="3" t="s">
        <v>29</v>
      </c>
      <c r="F18" s="1" t="s">
        <v>24</v>
      </c>
      <c r="G18" s="7">
        <v>80000</v>
      </c>
      <c r="H18" s="5">
        <v>7</v>
      </c>
      <c r="I18" s="6">
        <f t="shared" si="0"/>
        <v>560000</v>
      </c>
      <c r="J18" s="1" t="s">
        <v>11</v>
      </c>
    </row>
    <row r="19" spans="3:10" ht="21.95" customHeight="1" x14ac:dyDescent="0.15">
      <c r="C19" s="4">
        <v>1016</v>
      </c>
      <c r="D19" s="5" t="s">
        <v>32</v>
      </c>
      <c r="E19" s="3" t="s">
        <v>9</v>
      </c>
      <c r="F19" s="1" t="s">
        <v>21</v>
      </c>
      <c r="G19" s="7">
        <v>5000</v>
      </c>
      <c r="H19" s="5">
        <v>7</v>
      </c>
      <c r="I19" s="6">
        <f t="shared" si="0"/>
        <v>35000</v>
      </c>
      <c r="J19" s="1" t="s">
        <v>22</v>
      </c>
    </row>
    <row r="20" spans="3:10" ht="21.95" customHeight="1" x14ac:dyDescent="0.15">
      <c r="C20" s="4">
        <v>1017</v>
      </c>
      <c r="D20" s="5" t="s">
        <v>28</v>
      </c>
      <c r="E20" s="3" t="s">
        <v>30</v>
      </c>
      <c r="F20" s="1" t="s">
        <v>14</v>
      </c>
      <c r="G20" s="7">
        <v>2000</v>
      </c>
      <c r="H20" s="5">
        <v>2</v>
      </c>
      <c r="I20" s="6">
        <f t="shared" si="0"/>
        <v>4000</v>
      </c>
      <c r="J20" s="1" t="s">
        <v>22</v>
      </c>
    </row>
    <row r="21" spans="3:10" ht="21.95" customHeight="1" x14ac:dyDescent="0.15">
      <c r="C21" s="4">
        <v>1018</v>
      </c>
      <c r="D21" s="5" t="s">
        <v>31</v>
      </c>
      <c r="E21" s="3" t="s">
        <v>29</v>
      </c>
      <c r="F21" s="1" t="s">
        <v>24</v>
      </c>
      <c r="G21" s="7">
        <v>80000</v>
      </c>
      <c r="H21" s="5">
        <v>7</v>
      </c>
      <c r="I21" s="6">
        <f t="shared" si="0"/>
        <v>560000</v>
      </c>
      <c r="J21" s="1" t="s">
        <v>15</v>
      </c>
    </row>
    <row r="22" spans="3:10" ht="21.95" customHeight="1" x14ac:dyDescent="0.15">
      <c r="C22" s="4">
        <v>1019</v>
      </c>
      <c r="D22" s="5" t="s">
        <v>12</v>
      </c>
      <c r="E22" s="3" t="s">
        <v>30</v>
      </c>
      <c r="F22" s="1" t="s">
        <v>34</v>
      </c>
      <c r="G22" s="7">
        <v>25000</v>
      </c>
      <c r="H22" s="5">
        <v>3</v>
      </c>
      <c r="I22" s="6">
        <f t="shared" si="0"/>
        <v>75000</v>
      </c>
      <c r="J22" s="1" t="s">
        <v>22</v>
      </c>
    </row>
    <row r="23" spans="3:10" ht="21.95" customHeight="1" x14ac:dyDescent="0.15">
      <c r="C23" s="4">
        <v>1020</v>
      </c>
      <c r="D23" s="5" t="s">
        <v>35</v>
      </c>
      <c r="E23" s="3" t="s">
        <v>20</v>
      </c>
      <c r="F23" s="1" t="s">
        <v>24</v>
      </c>
      <c r="G23" s="7">
        <v>80000</v>
      </c>
      <c r="H23" s="5">
        <v>3</v>
      </c>
      <c r="I23" s="6">
        <f t="shared" si="0"/>
        <v>240000</v>
      </c>
      <c r="J23" s="1" t="s">
        <v>11</v>
      </c>
    </row>
    <row r="24" spans="3:10" ht="21.95" customHeight="1" x14ac:dyDescent="0.15">
      <c r="C24" s="4">
        <v>1021</v>
      </c>
      <c r="D24" s="5" t="s">
        <v>12</v>
      </c>
      <c r="E24" s="3" t="s">
        <v>36</v>
      </c>
      <c r="F24" s="1" t="s">
        <v>37</v>
      </c>
      <c r="G24" s="7">
        <v>10000</v>
      </c>
      <c r="H24" s="5">
        <v>4</v>
      </c>
      <c r="I24" s="6">
        <f t="shared" si="0"/>
        <v>40000</v>
      </c>
      <c r="J24" s="1" t="s">
        <v>27</v>
      </c>
    </row>
    <row r="25" spans="3:10" ht="21.95" customHeight="1" x14ac:dyDescent="0.15">
      <c r="C25" s="4">
        <v>1022</v>
      </c>
      <c r="D25" s="5" t="s">
        <v>8</v>
      </c>
      <c r="E25" s="3" t="s">
        <v>23</v>
      </c>
      <c r="F25" s="1" t="s">
        <v>34</v>
      </c>
      <c r="G25" s="7">
        <v>25000</v>
      </c>
      <c r="H25" s="5">
        <v>2</v>
      </c>
      <c r="I25" s="6">
        <f t="shared" si="0"/>
        <v>50000</v>
      </c>
      <c r="J25" s="1" t="s">
        <v>15</v>
      </c>
    </row>
    <row r="26" spans="3:10" ht="21.95" customHeight="1" x14ac:dyDescent="0.15">
      <c r="C26" s="4">
        <v>1023</v>
      </c>
      <c r="D26" s="5" t="s">
        <v>35</v>
      </c>
      <c r="E26" s="3" t="s">
        <v>13</v>
      </c>
      <c r="F26" s="1" t="s">
        <v>48</v>
      </c>
      <c r="G26" s="7">
        <v>80000</v>
      </c>
      <c r="H26" s="5">
        <v>4</v>
      </c>
      <c r="I26" s="6">
        <f t="shared" si="0"/>
        <v>320000</v>
      </c>
      <c r="J26" s="1" t="s">
        <v>15</v>
      </c>
    </row>
    <row r="27" spans="3:10" ht="21.95" customHeight="1" x14ac:dyDescent="0.15">
      <c r="C27" s="4">
        <v>1024</v>
      </c>
      <c r="D27" s="5" t="s">
        <v>17</v>
      </c>
      <c r="E27" s="3" t="s">
        <v>30</v>
      </c>
      <c r="F27" s="1" t="s">
        <v>19</v>
      </c>
      <c r="G27" s="7">
        <v>120000</v>
      </c>
      <c r="H27" s="5">
        <v>2</v>
      </c>
      <c r="I27" s="6">
        <f t="shared" si="0"/>
        <v>240000</v>
      </c>
      <c r="J27" s="1" t="s">
        <v>27</v>
      </c>
    </row>
    <row r="28" spans="3:10" ht="21.95" customHeight="1" x14ac:dyDescent="0.15">
      <c r="C28" s="4">
        <v>1025</v>
      </c>
      <c r="D28" s="5" t="s">
        <v>17</v>
      </c>
      <c r="E28" s="3" t="s">
        <v>30</v>
      </c>
      <c r="F28" s="1" t="s">
        <v>26</v>
      </c>
      <c r="G28" s="7">
        <v>40000</v>
      </c>
      <c r="H28" s="5">
        <v>8</v>
      </c>
      <c r="I28" s="6">
        <f t="shared" si="0"/>
        <v>320000</v>
      </c>
      <c r="J28" s="1" t="s">
        <v>22</v>
      </c>
    </row>
    <row r="29" spans="3:10" ht="21.95" customHeight="1" x14ac:dyDescent="0.15">
      <c r="C29" s="4">
        <v>1026</v>
      </c>
      <c r="D29" s="5" t="s">
        <v>28</v>
      </c>
      <c r="E29" s="3" t="s">
        <v>23</v>
      </c>
      <c r="F29" s="1" t="s">
        <v>37</v>
      </c>
      <c r="G29" s="7">
        <v>10000</v>
      </c>
      <c r="H29" s="5">
        <v>8</v>
      </c>
      <c r="I29" s="6">
        <f t="shared" si="0"/>
        <v>80000</v>
      </c>
      <c r="J29" s="1" t="s">
        <v>22</v>
      </c>
    </row>
    <row r="30" spans="3:10" ht="21.95" customHeight="1" x14ac:dyDescent="0.15">
      <c r="C30" s="4">
        <v>1027</v>
      </c>
      <c r="D30" s="5" t="s">
        <v>17</v>
      </c>
      <c r="E30" s="3" t="s">
        <v>23</v>
      </c>
      <c r="F30" s="1" t="s">
        <v>14</v>
      </c>
      <c r="G30" s="7">
        <v>2000</v>
      </c>
      <c r="H30" s="5">
        <v>6</v>
      </c>
      <c r="I30" s="6">
        <f t="shared" si="0"/>
        <v>12000</v>
      </c>
      <c r="J30" s="1" t="s">
        <v>22</v>
      </c>
    </row>
    <row r="31" spans="3:10" ht="21.95" customHeight="1" x14ac:dyDescent="0.15">
      <c r="C31" s="4">
        <v>1028</v>
      </c>
      <c r="D31" s="5" t="s">
        <v>17</v>
      </c>
      <c r="E31" s="3" t="s">
        <v>18</v>
      </c>
      <c r="F31" s="1" t="s">
        <v>21</v>
      </c>
      <c r="G31" s="7">
        <v>5000</v>
      </c>
      <c r="H31" s="5">
        <v>7</v>
      </c>
      <c r="I31" s="6">
        <f t="shared" si="0"/>
        <v>35000</v>
      </c>
      <c r="J31" s="1" t="s">
        <v>22</v>
      </c>
    </row>
    <row r="32" spans="3:10" ht="21.95" customHeight="1" x14ac:dyDescent="0.15">
      <c r="C32" s="4">
        <v>1029</v>
      </c>
      <c r="D32" s="5" t="s">
        <v>12</v>
      </c>
      <c r="E32" s="3" t="s">
        <v>36</v>
      </c>
      <c r="F32" s="1" t="s">
        <v>19</v>
      </c>
      <c r="G32" s="7">
        <v>120000</v>
      </c>
      <c r="H32" s="5">
        <v>8</v>
      </c>
      <c r="I32" s="6">
        <f t="shared" si="0"/>
        <v>960000</v>
      </c>
      <c r="J32" s="1" t="s">
        <v>22</v>
      </c>
    </row>
    <row r="33" spans="3:10" ht="21.95" customHeight="1" x14ac:dyDescent="0.15">
      <c r="C33" s="4">
        <v>1030</v>
      </c>
      <c r="D33" s="5" t="s">
        <v>38</v>
      </c>
      <c r="E33" s="3" t="s">
        <v>9</v>
      </c>
      <c r="F33" s="1" t="s">
        <v>14</v>
      </c>
      <c r="G33" s="7">
        <v>2000</v>
      </c>
      <c r="H33" s="5">
        <v>7</v>
      </c>
      <c r="I33" s="6">
        <f t="shared" si="0"/>
        <v>14000</v>
      </c>
      <c r="J33" s="1" t="s">
        <v>22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9"/>
  <sheetViews>
    <sheetView zoomScale="200" zoomScaleNormal="200" workbookViewId="0">
      <selection activeCell="B7" sqref="B7"/>
    </sheetView>
  </sheetViews>
  <sheetFormatPr defaultRowHeight="13.5" x14ac:dyDescent="0.15"/>
  <cols>
    <col min="2" max="2" width="15.75" customWidth="1"/>
    <col min="3" max="3" width="15.625" bestFit="1" customWidth="1"/>
  </cols>
  <sheetData>
    <row r="3" spans="2:3" ht="21.95" customHeight="1" x14ac:dyDescent="0.15">
      <c r="B3" s="21" t="s">
        <v>44</v>
      </c>
      <c r="C3" s="21"/>
    </row>
    <row r="4" spans="2:3" ht="21.95" customHeight="1" x14ac:dyDescent="0.15">
      <c r="B4" s="4" t="s">
        <v>39</v>
      </c>
      <c r="C4" s="4" t="s">
        <v>40</v>
      </c>
    </row>
    <row r="5" spans="2:3" ht="21.95" customHeight="1" x14ac:dyDescent="0.15">
      <c r="B5" s="4" t="s">
        <v>41</v>
      </c>
      <c r="C5" s="9">
        <f>SUM(注文履歴!I4:I33)</f>
        <v>6166000</v>
      </c>
    </row>
    <row r="6" spans="2:3" ht="21.95" customHeight="1" x14ac:dyDescent="0.15">
      <c r="B6" s="4" t="s">
        <v>42</v>
      </c>
      <c r="C6" s="9">
        <f>AVERAGE(注文履歴!G4:G33)</f>
        <v>39400</v>
      </c>
    </row>
    <row r="7" spans="2:3" ht="21.95" customHeight="1" x14ac:dyDescent="0.15">
      <c r="B7" s="4" t="s">
        <v>43</v>
      </c>
      <c r="C7" s="10">
        <f>AVERAGE(注文履歴!I4:I33)</f>
        <v>205533.33333333334</v>
      </c>
    </row>
    <row r="8" spans="2:3" ht="21.95" customHeight="1" x14ac:dyDescent="0.15">
      <c r="B8" s="4" t="s">
        <v>45</v>
      </c>
      <c r="C8" s="8">
        <f>MAX(注文履歴!H4:H33)</f>
        <v>8</v>
      </c>
    </row>
    <row r="9" spans="2:3" ht="21.95" customHeight="1" x14ac:dyDescent="0.15">
      <c r="B9" s="4" t="s">
        <v>46</v>
      </c>
      <c r="C9" s="9">
        <f>MIN(注文履歴!I4:I33)</f>
        <v>4000</v>
      </c>
    </row>
  </sheetData>
  <mergeCells count="1">
    <mergeCell ref="B3:C3"/>
  </mergeCells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3B08-C40F-4160-9DA9-F2F5816DEC96}">
  <dimension ref="B2:K12"/>
  <sheetViews>
    <sheetView zoomScale="200" zoomScaleNormal="200" workbookViewId="0">
      <selection activeCell="H8" sqref="H8"/>
    </sheetView>
  </sheetViews>
  <sheetFormatPr defaultRowHeight="13.5" x14ac:dyDescent="0.15"/>
  <cols>
    <col min="7" max="7" width="4.25" customWidth="1"/>
    <col min="8" max="8" width="29.5" customWidth="1"/>
    <col min="9" max="9" width="9.875" bestFit="1" customWidth="1"/>
    <col min="10" max="10" width="30.75" customWidth="1"/>
  </cols>
  <sheetData>
    <row r="2" spans="2:11" ht="21.95" customHeight="1" thickBot="1" x14ac:dyDescent="0.2">
      <c r="B2" s="16" t="s">
        <v>49</v>
      </c>
      <c r="C2" s="17" t="s">
        <v>50</v>
      </c>
      <c r="D2" s="18" t="s">
        <v>51</v>
      </c>
      <c r="E2" s="16" t="s">
        <v>52</v>
      </c>
      <c r="F2" s="16" t="s">
        <v>53</v>
      </c>
      <c r="H2" s="16" t="s">
        <v>69</v>
      </c>
      <c r="I2" s="16" t="s">
        <v>70</v>
      </c>
      <c r="J2" s="16" t="s">
        <v>71</v>
      </c>
      <c r="K2" s="16" t="s">
        <v>72</v>
      </c>
    </row>
    <row r="3" spans="2:11" ht="21.95" customHeight="1" thickTop="1" x14ac:dyDescent="0.15">
      <c r="B3" s="4" t="s">
        <v>54</v>
      </c>
      <c r="C3" s="2" t="s">
        <v>9</v>
      </c>
      <c r="D3" s="19" t="s">
        <v>55</v>
      </c>
      <c r="E3" s="4">
        <v>18</v>
      </c>
      <c r="F3" s="4">
        <v>11</v>
      </c>
      <c r="H3" s="1" t="s">
        <v>74</v>
      </c>
      <c r="I3" s="4" t="s">
        <v>55</v>
      </c>
      <c r="J3" s="20" t="s">
        <v>73</v>
      </c>
      <c r="K3" s="11">
        <f>SUMIF(D3:D12,"営業",E3:E12)</f>
        <v>80</v>
      </c>
    </row>
    <row r="4" spans="2:11" ht="21.95" customHeight="1" x14ac:dyDescent="0.15">
      <c r="B4" s="4" t="s">
        <v>56</v>
      </c>
      <c r="C4" s="2" t="s">
        <v>13</v>
      </c>
      <c r="D4" s="19" t="s">
        <v>57</v>
      </c>
      <c r="E4" s="4">
        <v>19</v>
      </c>
      <c r="F4" s="4">
        <v>3</v>
      </c>
      <c r="H4" s="1" t="s">
        <v>79</v>
      </c>
      <c r="I4" s="4" t="s">
        <v>59</v>
      </c>
      <c r="J4" s="20" t="s">
        <v>77</v>
      </c>
      <c r="K4" s="11">
        <f>SUMIF(D3:D12,"開発",F3:F12)</f>
        <v>15</v>
      </c>
    </row>
    <row r="5" spans="2:11" ht="21.95" customHeight="1" x14ac:dyDescent="0.15">
      <c r="B5" s="4" t="s">
        <v>58</v>
      </c>
      <c r="C5" s="2" t="s">
        <v>23</v>
      </c>
      <c r="D5" s="19" t="s">
        <v>59</v>
      </c>
      <c r="E5" s="4">
        <v>23</v>
      </c>
      <c r="F5" s="4">
        <v>1</v>
      </c>
      <c r="H5" s="1" t="s">
        <v>75</v>
      </c>
      <c r="I5" s="4" t="s">
        <v>76</v>
      </c>
      <c r="J5" s="20" t="s">
        <v>78</v>
      </c>
      <c r="K5" s="11">
        <f>SUMIF(E3:E12,"&gt;=20",F3:F12)</f>
        <v>16</v>
      </c>
    </row>
    <row r="6" spans="2:11" ht="21.95" customHeight="1" x14ac:dyDescent="0.15">
      <c r="B6" s="4" t="s">
        <v>60</v>
      </c>
      <c r="C6" s="2" t="s">
        <v>25</v>
      </c>
      <c r="D6" s="19" t="s">
        <v>55</v>
      </c>
      <c r="E6" s="4">
        <v>22</v>
      </c>
      <c r="F6" s="4">
        <v>6</v>
      </c>
    </row>
    <row r="7" spans="2:11" ht="21.95" customHeight="1" x14ac:dyDescent="0.15">
      <c r="B7" s="4" t="s">
        <v>61</v>
      </c>
      <c r="C7" s="2" t="s">
        <v>30</v>
      </c>
      <c r="D7" s="19" t="s">
        <v>55</v>
      </c>
      <c r="E7" s="4">
        <v>18</v>
      </c>
      <c r="F7" s="4">
        <v>1</v>
      </c>
    </row>
    <row r="8" spans="2:11" ht="21.95" customHeight="1" x14ac:dyDescent="0.15">
      <c r="B8" s="4" t="s">
        <v>62</v>
      </c>
      <c r="C8" s="2" t="s">
        <v>63</v>
      </c>
      <c r="D8" s="19" t="s">
        <v>59</v>
      </c>
      <c r="E8" s="4">
        <v>19</v>
      </c>
      <c r="F8" s="4">
        <v>8</v>
      </c>
    </row>
    <row r="9" spans="2:11" ht="21.95" customHeight="1" x14ac:dyDescent="0.15">
      <c r="B9" s="4" t="s">
        <v>64</v>
      </c>
      <c r="C9" s="2" t="s">
        <v>20</v>
      </c>
      <c r="D9" s="19" t="s">
        <v>55</v>
      </c>
      <c r="E9" s="4">
        <v>22</v>
      </c>
      <c r="F9" s="4">
        <v>3</v>
      </c>
    </row>
    <row r="10" spans="2:11" ht="21.95" customHeight="1" x14ac:dyDescent="0.15">
      <c r="B10" s="4" t="s">
        <v>65</v>
      </c>
      <c r="C10" s="2" t="s">
        <v>29</v>
      </c>
      <c r="D10" s="19" t="s">
        <v>66</v>
      </c>
      <c r="E10" s="4">
        <v>19</v>
      </c>
      <c r="F10" s="4">
        <v>7</v>
      </c>
    </row>
    <row r="11" spans="2:11" ht="21.95" customHeight="1" x14ac:dyDescent="0.15">
      <c r="B11" s="4" t="s">
        <v>67</v>
      </c>
      <c r="C11" s="2" t="s">
        <v>36</v>
      </c>
      <c r="D11" s="19" t="s">
        <v>57</v>
      </c>
      <c r="E11" s="4">
        <v>18</v>
      </c>
      <c r="F11" s="4">
        <v>12</v>
      </c>
    </row>
    <row r="12" spans="2:11" ht="21.95" customHeight="1" x14ac:dyDescent="0.15">
      <c r="B12" s="4" t="s">
        <v>68</v>
      </c>
      <c r="C12" s="2" t="s">
        <v>18</v>
      </c>
      <c r="D12" s="19" t="s">
        <v>59</v>
      </c>
      <c r="E12" s="4">
        <v>23</v>
      </c>
      <c r="F12" s="4">
        <v>6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D8DC-46F7-4026-B0E5-5D87A029801D}">
  <dimension ref="B2:E7"/>
  <sheetViews>
    <sheetView zoomScale="200" zoomScaleNormal="200" workbookViewId="0">
      <selection activeCell="C13" sqref="C13"/>
    </sheetView>
  </sheetViews>
  <sheetFormatPr defaultRowHeight="13.5" x14ac:dyDescent="0.15"/>
  <cols>
    <col min="2" max="2" width="38.75" bestFit="1" customWidth="1"/>
    <col min="3" max="3" width="15.375" bestFit="1" customWidth="1"/>
    <col min="4" max="4" width="12.375" customWidth="1"/>
  </cols>
  <sheetData>
    <row r="2" spans="2:5" ht="21.95" customHeight="1" x14ac:dyDescent="0.15">
      <c r="B2" s="22" t="s">
        <v>47</v>
      </c>
      <c r="C2" s="22"/>
      <c r="D2" s="22"/>
    </row>
    <row r="3" spans="2:5" ht="21.95" customHeight="1" x14ac:dyDescent="0.15">
      <c r="B3" s="12"/>
      <c r="C3" s="12" t="s">
        <v>83</v>
      </c>
      <c r="D3" s="12"/>
    </row>
    <row r="4" spans="2:5" ht="21.95" customHeight="1" x14ac:dyDescent="0.15">
      <c r="B4" s="4" t="s">
        <v>80</v>
      </c>
      <c r="C4" s="23" t="s">
        <v>84</v>
      </c>
      <c r="D4" s="11">
        <f>SUMIF(注文履歴!F4:F33,"スマートフォン",注文履歴!H4:H33)</f>
        <v>31</v>
      </c>
    </row>
    <row r="5" spans="2:5" ht="21.95" customHeight="1" x14ac:dyDescent="0.15">
      <c r="B5" s="4" t="s">
        <v>82</v>
      </c>
      <c r="C5" s="23" t="s">
        <v>85</v>
      </c>
      <c r="D5" s="11">
        <f>SUMIF(注文履歴!D4:D33,C5,注文履歴!I4:I33)</f>
        <v>1921000</v>
      </c>
      <c r="E5" s="1" t="s">
        <v>87</v>
      </c>
    </row>
    <row r="6" spans="2:5" ht="21.95" customHeight="1" x14ac:dyDescent="0.15">
      <c r="B6" s="4" t="s">
        <v>89</v>
      </c>
      <c r="C6" s="23" t="s">
        <v>88</v>
      </c>
      <c r="D6" s="11">
        <f>SUMIF(注文履歴!I4:I33,"&gt;=20000",注文履歴!H4:H33)</f>
        <v>124</v>
      </c>
    </row>
    <row r="7" spans="2:5" ht="21.95" customHeight="1" x14ac:dyDescent="0.15">
      <c r="B7" s="4" t="s">
        <v>81</v>
      </c>
      <c r="C7" s="23" t="s">
        <v>86</v>
      </c>
      <c r="D7" s="11">
        <f>SUMIF(注文履歴!J4:J33,"電子マネー",注文履歴!I4:I33)</f>
        <v>1096000</v>
      </c>
    </row>
  </sheetData>
  <mergeCells count="1">
    <mergeCell ref="B2:D2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108E-C207-46ED-932A-DAF1179ED7BA}">
  <dimension ref="B2:F7"/>
  <sheetViews>
    <sheetView zoomScale="200" zoomScaleNormal="200" workbookViewId="0">
      <selection activeCell="D16" sqref="D16"/>
    </sheetView>
  </sheetViews>
  <sheetFormatPr defaultRowHeight="13.5" x14ac:dyDescent="0.15"/>
  <cols>
    <col min="3" max="3" width="5.25" bestFit="1" customWidth="1"/>
    <col min="4" max="6" width="16.625" customWidth="1"/>
  </cols>
  <sheetData>
    <row r="2" spans="2:6" ht="21.95" customHeight="1" x14ac:dyDescent="0.15">
      <c r="B2" s="12" t="s">
        <v>90</v>
      </c>
      <c r="C2" s="12" t="s">
        <v>91</v>
      </c>
      <c r="D2" s="12" t="s">
        <v>92</v>
      </c>
      <c r="E2" s="12" t="s">
        <v>93</v>
      </c>
      <c r="F2" s="12" t="s">
        <v>94</v>
      </c>
    </row>
    <row r="3" spans="2:6" ht="21.95" customHeight="1" x14ac:dyDescent="0.15">
      <c r="B3" s="1">
        <v>140.178</v>
      </c>
      <c r="C3" s="4">
        <v>0</v>
      </c>
      <c r="D3" s="11">
        <f>ROUND(B3,C3)</f>
        <v>140</v>
      </c>
      <c r="E3" s="11">
        <f>ROUNDDOWN(B3,C3)</f>
        <v>140</v>
      </c>
      <c r="F3" s="11">
        <f>ROUNDUP(B3,C3)</f>
        <v>141</v>
      </c>
    </row>
    <row r="4" spans="2:6" ht="21.95" customHeight="1" x14ac:dyDescent="0.15">
      <c r="B4" s="1">
        <v>140.178</v>
      </c>
      <c r="C4" s="4">
        <v>1</v>
      </c>
      <c r="D4" s="11">
        <f t="shared" ref="D4:D7" si="0">ROUND(B4,C4)</f>
        <v>140.19999999999999</v>
      </c>
      <c r="E4" s="11">
        <f t="shared" ref="E4:E7" si="1">ROUNDDOWN(B4,C4)</f>
        <v>140.1</v>
      </c>
      <c r="F4" s="11">
        <f t="shared" ref="F4:F7" si="2">ROUNDUP(B4,C4)</f>
        <v>140.19999999999999</v>
      </c>
    </row>
    <row r="5" spans="2:6" ht="21.95" customHeight="1" x14ac:dyDescent="0.15">
      <c r="B5" s="1">
        <v>140.178</v>
      </c>
      <c r="C5" s="4">
        <v>2</v>
      </c>
      <c r="D5" s="11">
        <f t="shared" si="0"/>
        <v>140.18</v>
      </c>
      <c r="E5" s="11">
        <f t="shared" si="1"/>
        <v>140.16999999999999</v>
      </c>
      <c r="F5" s="11">
        <f t="shared" si="2"/>
        <v>140.17999999999998</v>
      </c>
    </row>
    <row r="6" spans="2:6" ht="21.95" customHeight="1" x14ac:dyDescent="0.15">
      <c r="B6" s="1">
        <v>140.178</v>
      </c>
      <c r="C6" s="4">
        <v>-1</v>
      </c>
      <c r="D6" s="11">
        <f t="shared" si="0"/>
        <v>140</v>
      </c>
      <c r="E6" s="11">
        <f t="shared" si="1"/>
        <v>140</v>
      </c>
      <c r="F6" s="11">
        <f t="shared" si="2"/>
        <v>150</v>
      </c>
    </row>
    <row r="7" spans="2:6" ht="21.95" customHeight="1" x14ac:dyDescent="0.15">
      <c r="B7" s="1">
        <v>140.178</v>
      </c>
      <c r="C7" s="4">
        <v>-2</v>
      </c>
      <c r="D7" s="11">
        <f t="shared" si="0"/>
        <v>100</v>
      </c>
      <c r="E7" s="11">
        <f t="shared" si="1"/>
        <v>100</v>
      </c>
      <c r="F7" s="11">
        <f t="shared" si="2"/>
        <v>200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CC66-7399-475D-AB8B-0D575B68A4F6}">
  <dimension ref="B2:F5"/>
  <sheetViews>
    <sheetView tabSelected="1" zoomScale="200" zoomScaleNormal="200" workbookViewId="0">
      <selection activeCell="H7" sqref="H7"/>
    </sheetView>
  </sheetViews>
  <sheetFormatPr defaultRowHeight="13.5" x14ac:dyDescent="0.15"/>
  <sheetData>
    <row r="2" spans="2:6" ht="21.95" customHeight="1" x14ac:dyDescent="0.15">
      <c r="B2" s="12" t="s">
        <v>95</v>
      </c>
      <c r="C2" s="12" t="s">
        <v>96</v>
      </c>
      <c r="D2" s="12" t="s">
        <v>97</v>
      </c>
      <c r="E2" s="12" t="s">
        <v>98</v>
      </c>
      <c r="F2" s="12" t="s">
        <v>99</v>
      </c>
    </row>
    <row r="3" spans="2:6" ht="21.95" customHeight="1" x14ac:dyDescent="0.15">
      <c r="B3" s="1" t="s">
        <v>100</v>
      </c>
      <c r="C3" s="8" t="str">
        <f>LEFT(B3,2)</f>
        <v>23</v>
      </c>
      <c r="D3" s="8" t="str">
        <f>MID(B3,3,1)</f>
        <v>B</v>
      </c>
      <c r="E3" s="8" t="str">
        <f>MID(B3,4,1)</f>
        <v>3</v>
      </c>
      <c r="F3" s="8" t="str">
        <f>RIGHT(B3,3)</f>
        <v>456</v>
      </c>
    </row>
    <row r="4" spans="2:6" ht="21.95" customHeight="1" x14ac:dyDescent="0.15">
      <c r="B4" s="24" t="s">
        <v>102</v>
      </c>
      <c r="C4" s="8" t="str">
        <f>LEFT(B4,2)</f>
        <v>25</v>
      </c>
      <c r="D4" s="8" t="str">
        <f>MID(B4,3,1)</f>
        <v>A</v>
      </c>
      <c r="E4" s="8" t="str">
        <f>MID(B4,4,1)</f>
        <v>7</v>
      </c>
      <c r="F4" s="8" t="str">
        <f>RIGHT(B4,3)</f>
        <v>123</v>
      </c>
    </row>
    <row r="5" spans="2:6" ht="21.95" customHeight="1" x14ac:dyDescent="0.15">
      <c r="B5" s="25" t="s">
        <v>101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注文履歴</vt:lpstr>
      <vt:lpstr>基本集計</vt:lpstr>
      <vt:lpstr>条件付き合計（例）</vt:lpstr>
      <vt:lpstr>条件付き合計</vt:lpstr>
      <vt:lpstr>丸め</vt:lpstr>
      <vt:lpstr>文字列操作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清水哲也</cp:lastModifiedBy>
  <dcterms:created xsi:type="dcterms:W3CDTF">2025-11-09T06:52:03Z</dcterms:created>
  <dcterms:modified xsi:type="dcterms:W3CDTF">2025-11-10T05:04:40Z</dcterms:modified>
</cp:coreProperties>
</file>