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マスタ" sheetId="1" state="visible" r:id="rId1"/>
    <sheet xmlns:r="http://schemas.openxmlformats.org/officeDocument/2006/relationships" name="売上" sheetId="2" state="visible" r:id="rId2"/>
    <sheet xmlns:r="http://schemas.openxmlformats.org/officeDocument/2006/relationships" name="評価表" sheetId="3" state="visible" r:id="rId3"/>
    <sheet xmlns:r="http://schemas.openxmlformats.org/officeDocument/2006/relationships" name="評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pivotButton="0" quotePrefix="0" xfId="0"/>
    <xf numFmtId="165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1" fontId="0" fillId="0" borderId="1" pivotButton="0" quotePrefix="0" xfId="0"/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</cols>
  <sheetData>
    <row r="1">
      <c r="A1" s="1" t="inlineStr">
        <is>
          <t>商品コード</t>
        </is>
      </c>
      <c r="B1" s="1" t="inlineStr">
        <is>
          <t>商品名</t>
        </is>
      </c>
      <c r="C1" s="1" t="inlineStr">
        <is>
          <t>単価</t>
        </is>
      </c>
    </row>
    <row r="2">
      <c r="A2" s="2" t="inlineStr">
        <is>
          <t>P001</t>
        </is>
      </c>
      <c r="B2" s="3" t="inlineStr">
        <is>
          <t>ノート</t>
        </is>
      </c>
      <c r="C2" s="4" t="n">
        <v>120</v>
      </c>
    </row>
    <row r="3">
      <c r="A3" s="2" t="inlineStr">
        <is>
          <t>P002</t>
        </is>
      </c>
      <c r="B3" s="3" t="inlineStr">
        <is>
          <t>シャープペン</t>
        </is>
      </c>
      <c r="C3" s="4" t="n">
        <v>180</v>
      </c>
    </row>
    <row r="4">
      <c r="A4" s="2" t="inlineStr">
        <is>
          <t>P003</t>
        </is>
      </c>
      <c r="B4" s="3" t="inlineStr">
        <is>
          <t>消しゴム</t>
        </is>
      </c>
      <c r="C4" s="4" t="n">
        <v>90</v>
      </c>
    </row>
    <row r="5">
      <c r="A5" s="2" t="inlineStr">
        <is>
          <t>P004</t>
        </is>
      </c>
      <c r="B5" s="3" t="inlineStr">
        <is>
          <t>クリアファイル</t>
        </is>
      </c>
      <c r="C5" s="4" t="n">
        <v>150</v>
      </c>
    </row>
    <row r="6">
      <c r="A6" s="2" t="inlineStr">
        <is>
          <t>P005</t>
        </is>
      </c>
      <c r="B6" s="3" t="inlineStr">
        <is>
          <t>付箋</t>
        </is>
      </c>
      <c r="C6" s="4" t="n">
        <v>200</v>
      </c>
    </row>
    <row r="7">
      <c r="A7" s="2" t="inlineStr">
        <is>
          <t>P006</t>
        </is>
      </c>
      <c r="B7" s="3" t="inlineStr">
        <is>
          <t>ボールペン</t>
        </is>
      </c>
      <c r="C7" s="4" t="n">
        <v>220</v>
      </c>
    </row>
    <row r="8">
      <c r="A8" s="2" t="inlineStr">
        <is>
          <t>P007</t>
        </is>
      </c>
      <c r="B8" s="3" t="inlineStr">
        <is>
          <t>定規</t>
        </is>
      </c>
      <c r="C8" s="4" t="n">
        <v>130</v>
      </c>
    </row>
    <row r="9">
      <c r="A9" s="2" t="inlineStr">
        <is>
          <t>P008</t>
        </is>
      </c>
      <c r="B9" s="3" t="inlineStr">
        <is>
          <t>コンパス</t>
        </is>
      </c>
      <c r="C9" s="4" t="n">
        <v>350</v>
      </c>
    </row>
    <row r="10">
      <c r="A10" s="2" t="inlineStr">
        <is>
          <t>P009</t>
        </is>
      </c>
      <c r="B10" s="3" t="inlineStr">
        <is>
          <t>スティックのり</t>
        </is>
      </c>
      <c r="C10" s="4" t="n">
        <v>140</v>
      </c>
    </row>
    <row r="11">
      <c r="A11" s="2" t="inlineStr">
        <is>
          <t>P010</t>
        </is>
      </c>
      <c r="B11" s="3" t="inlineStr">
        <is>
          <t>メモ帳</t>
        </is>
      </c>
      <c r="C11" s="4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日付</t>
        </is>
      </c>
      <c r="B1" s="1" t="inlineStr">
        <is>
          <t>伝票No</t>
        </is>
      </c>
      <c r="C1" s="1" t="inlineStr">
        <is>
          <t>商品コード</t>
        </is>
      </c>
      <c r="D1" s="1" t="inlineStr">
        <is>
          <t>数量</t>
        </is>
      </c>
      <c r="E1" s="1" t="inlineStr">
        <is>
          <t>単価(参照)</t>
        </is>
      </c>
      <c r="F1" s="1" t="inlineStr">
        <is>
          <t>金額</t>
        </is>
      </c>
      <c r="G1" s="1" t="inlineStr">
        <is>
          <t>備考</t>
        </is>
      </c>
    </row>
    <row r="2">
      <c r="A2" s="5" t="n">
        <v>45931</v>
      </c>
      <c r="B2" s="6" t="n">
        <v>1001</v>
      </c>
      <c r="C2" s="2" t="inlineStr">
        <is>
          <t>P001</t>
        </is>
      </c>
      <c r="D2" s="6" t="n">
        <v>5</v>
      </c>
      <c r="E2" s="7">
        <f>IFERROR(VLOOKUP(C2, 商品マスタ!$A$2:$C$11, 3, FALSE), "")</f>
        <v/>
      </c>
      <c r="F2" s="7">
        <f>E2*D2</f>
        <v/>
      </c>
      <c r="G2" s="3" t="inlineStr"/>
    </row>
    <row r="3">
      <c r="A3" s="5" t="n">
        <v>45932</v>
      </c>
      <c r="B3" s="6" t="n">
        <v>1002</v>
      </c>
      <c r="C3" s="2" t="inlineStr">
        <is>
          <t>P004</t>
        </is>
      </c>
      <c r="D3" s="6" t="n">
        <v>2</v>
      </c>
      <c r="E3" s="7">
        <f>IFERROR(VLOOKUP(C3, 商品マスタ!$A$2:$C$11, 3, FALSE), "")</f>
        <v/>
      </c>
      <c r="F3" s="7">
        <f>E3*D3</f>
        <v/>
      </c>
      <c r="G3" s="3" t="inlineStr"/>
    </row>
    <row r="4">
      <c r="A4" s="5" t="n">
        <v>45933</v>
      </c>
      <c r="B4" s="6" t="n">
        <v>1003</v>
      </c>
      <c r="C4" s="2" t="inlineStr">
        <is>
          <t>P007</t>
        </is>
      </c>
      <c r="D4" s="6" t="n">
        <v>3</v>
      </c>
      <c r="E4" s="7">
        <f>IFERROR(VLOOKUP(C4, 商品マスタ!$A$2:$C$11, 3, FALSE), "")</f>
        <v/>
      </c>
      <c r="F4" s="7">
        <f>E4*D4</f>
        <v/>
      </c>
      <c r="G4" s="3" t="inlineStr"/>
    </row>
    <row r="5">
      <c r="A5" s="5" t="n">
        <v>45934</v>
      </c>
      <c r="B5" s="6" t="n">
        <v>1004</v>
      </c>
      <c r="C5" s="2" t="inlineStr">
        <is>
          <t>P010</t>
        </is>
      </c>
      <c r="D5" s="6" t="n">
        <v>1</v>
      </c>
      <c r="E5" s="7">
        <f>IFERROR(VLOOKUP(C5, 商品マスタ!$A$2:$C$11, 3, FALSE), "")</f>
        <v/>
      </c>
      <c r="F5" s="7">
        <f>E5*D5</f>
        <v/>
      </c>
      <c r="G5" s="3" t="inlineStr"/>
    </row>
    <row r="6">
      <c r="A6" s="5" t="n">
        <v>45935</v>
      </c>
      <c r="B6" s="6" t="n">
        <v>1005</v>
      </c>
      <c r="C6" s="2" t="inlineStr">
        <is>
          <t>P999</t>
        </is>
      </c>
      <c r="D6" s="6" t="n">
        <v>4</v>
      </c>
      <c r="E6" s="7">
        <f>IFERROR(VLOOKUP(C6, 商品マスタ!$A$2:$C$11, 3, FALSE), "")</f>
        <v/>
      </c>
      <c r="F6" s="7">
        <f>E6*D6</f>
        <v/>
      </c>
      <c r="G6" s="3" t="inlineStr">
        <is>
          <t>未登録コードの例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下限点</t>
        </is>
      </c>
      <c r="B1" s="1" t="inlineStr">
        <is>
          <t>評価</t>
        </is>
      </c>
    </row>
    <row r="2">
      <c r="A2" s="8" t="n">
        <v>0</v>
      </c>
      <c r="B2" s="2" t="inlineStr">
        <is>
          <t>D</t>
        </is>
      </c>
    </row>
    <row r="3">
      <c r="A3" s="8" t="n">
        <v>60</v>
      </c>
      <c r="B3" s="2" t="inlineStr">
        <is>
          <t>C</t>
        </is>
      </c>
    </row>
    <row r="4">
      <c r="A4" s="8" t="n">
        <v>70</v>
      </c>
      <c r="B4" s="2" t="inlineStr">
        <is>
          <t>B</t>
        </is>
      </c>
    </row>
    <row r="5">
      <c r="A5" s="8" t="n">
        <v>80</v>
      </c>
      <c r="B5" s="2" t="inlineStr">
        <is>
          <t>A</t>
        </is>
      </c>
    </row>
    <row r="6">
      <c r="A6" s="8" t="n">
        <v>90</v>
      </c>
      <c r="B6" s="2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1" t="inlineStr">
        <is>
          <t>氏名</t>
        </is>
      </c>
      <c r="B1" s="1" t="inlineStr">
        <is>
          <t>点数</t>
        </is>
      </c>
      <c r="C1" s="1" t="inlineStr">
        <is>
          <t>評価</t>
        </is>
      </c>
    </row>
    <row r="2">
      <c r="A2" s="3" t="inlineStr">
        <is>
          <t>山田 太郎</t>
        </is>
      </c>
      <c r="B2" s="9" t="n">
        <v>58</v>
      </c>
      <c r="C2" s="2">
        <f>VLOOKUP(B2, 評価表!$A$2:$B$6, 2, TRUE)</f>
        <v/>
      </c>
    </row>
    <row r="3">
      <c r="A3" s="3" t="inlineStr">
        <is>
          <t>佐藤 花子</t>
        </is>
      </c>
      <c r="B3" s="9" t="n">
        <v>67</v>
      </c>
      <c r="C3" s="2">
        <f>VLOOKUP(B3, 評価表!$A$2:$B$6, 2, TRUE)</f>
        <v/>
      </c>
    </row>
    <row r="4">
      <c r="A4" s="3" t="inlineStr">
        <is>
          <t>鈴木 次郎</t>
        </is>
      </c>
      <c r="B4" s="9" t="n">
        <v>72</v>
      </c>
      <c r="C4" s="2">
        <f>VLOOKUP(B4, 評価表!$A$2:$B$6, 2, TRUE)</f>
        <v/>
      </c>
    </row>
    <row r="5">
      <c r="A5" s="3" t="inlineStr">
        <is>
          <t>田中 三郎</t>
        </is>
      </c>
      <c r="B5" s="9" t="n">
        <v>85</v>
      </c>
      <c r="C5" s="2">
        <f>VLOOKUP(B5, 評価表!$A$2:$B$6, 2, TRUE)</f>
        <v/>
      </c>
    </row>
    <row r="6">
      <c r="A6" s="3" t="inlineStr">
        <is>
          <t>高橋 四季</t>
        </is>
      </c>
      <c r="B6" s="9" t="n">
        <v>91</v>
      </c>
      <c r="C6" s="2">
        <f>VLOOKUP(B6, 評価表!$A$2:$B$6, 2, 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2025-11-02T02:20:54Z</dcterms:created>
  <dcterms:modified xmlns:dcterms="http://purl.org/dc/terms/" xmlns:xsi="http://www.w3.org/2001/XMLSchema-instance" xsi:type="dcterms:W3CDTF">2025-11-02T02:20:54Z</dcterms:modified>
</cp:coreProperties>
</file>